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ynoptek.sharepoint.com/sites/AIenablement-CRM/Shared Documents/AI enablement/Solutions/4. BRD Generation/LES Documents/"/>
    </mc:Choice>
  </mc:AlternateContent>
  <xr:revisionPtr revIDLastSave="1057" documentId="8_{49E56A8F-7EFF-4868-BC10-CABC5A8D5DCD}" xr6:coauthVersionLast="47" xr6:coauthVersionMax="47" xr10:uidLastSave="{748CD805-5A44-42D7-9ADB-D0295F8E02B9}"/>
  <bookViews>
    <workbookView xWindow="-108" yWindow="-108" windowWidth="23256" windowHeight="13896" tabRatio="500" activeTab="2" xr2:uid="{00000000-000D-0000-FFFF-FFFF00000000}"/>
  </bookViews>
  <sheets>
    <sheet name="Source" sheetId="17" r:id="rId1"/>
    <sheet name="Colour Palette" sheetId="10" r:id="rId2"/>
    <sheet name="Summary" sheetId="9" r:id="rId3"/>
    <sheet name="LES BRD" sheetId="16" r:id="rId4"/>
    <sheet name="Scope Checklist Requirements" sheetId="2" r:id="rId5"/>
    <sheet name="Out of Scope" sheetId="3" r:id="rId6"/>
    <sheet name="Scope" sheetId="4" r:id="rId7"/>
    <sheet name="Sign Off - Acceptance" sheetId="5" r:id="rId8"/>
    <sheet name="LOV's" sheetId="6" r:id="rId9"/>
    <sheet name="Selections" sheetId="7" r:id="rId10"/>
  </sheets>
  <definedNames>
    <definedName name="_xlnm._FilterDatabase" localSheetId="6" hidden="1">Scope!$A$2:$B$43</definedName>
    <definedName name="_xlnm._FilterDatabase" localSheetId="4" hidden="1">'Scope Checklist Requirements'!$A$2:$D$54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9" l="1"/>
  <c r="C33" i="9"/>
  <c r="C34" i="9"/>
  <c r="C35" i="9"/>
  <c r="C11" i="9"/>
</calcChain>
</file>

<file path=xl/sharedStrings.xml><?xml version="1.0" encoding="utf-8"?>
<sst xmlns="http://schemas.openxmlformats.org/spreadsheetml/2006/main" count="1301" uniqueCount="677">
  <si>
    <t>Font</t>
  </si>
  <si>
    <t>Aptos Narrow</t>
  </si>
  <si>
    <t>Colour Family</t>
  </si>
  <si>
    <t>White</t>
  </si>
  <si>
    <t>#FFFFFF</t>
  </si>
  <si>
    <t>Dark Grey, Text 1</t>
  </si>
  <si>
    <t>#3F403F</t>
  </si>
  <si>
    <t>Tan, Background 1</t>
  </si>
  <si>
    <t>#E8E4E2</t>
  </si>
  <si>
    <t>Blue, Grey, Text 2</t>
  </si>
  <si>
    <t>#243641</t>
  </si>
  <si>
    <t>Red, Accent 1</t>
  </si>
  <si>
    <t>#F04D38</t>
  </si>
  <si>
    <t>Dark Blue, Accent 2</t>
  </si>
  <si>
    <t>#002344</t>
  </si>
  <si>
    <t>Dark Blue, Accent 3</t>
  </si>
  <si>
    <t>#004677</t>
  </si>
  <si>
    <t>Aqua, Accent 4</t>
  </si>
  <si>
    <t>#96BDC6</t>
  </si>
  <si>
    <t>Dark Red, Accent 5</t>
  </si>
  <si>
    <t>#C10016</t>
  </si>
  <si>
    <t>Ice Blue, Accent 6</t>
  </si>
  <si>
    <t>#B7C9D3</t>
  </si>
  <si>
    <t>Gray</t>
  </si>
  <si>
    <t>#898B89</t>
  </si>
  <si>
    <t>Document Generated: April 1, 2026</t>
  </si>
  <si>
    <t>LES CRM Business Requirements Document (BRD)</t>
  </si>
  <si>
    <r>
      <rPr>
        <b/>
        <sz val="14"/>
        <color theme="4"/>
        <rFont val="Aptos Narrow"/>
        <family val="2"/>
      </rPr>
      <t>📋</t>
    </r>
    <r>
      <rPr>
        <b/>
        <sz val="14"/>
        <color theme="1"/>
        <rFont val="Aptos Narrow"/>
        <family val="2"/>
      </rPr>
      <t xml:space="preserve"> Document Overview</t>
    </r>
  </si>
  <si>
    <t>Purpose</t>
  </si>
  <si>
    <t>This BRD captures functional and technical requirements for LES CRM implementation using Microsoft Dynamics 365.</t>
  </si>
  <si>
    <t>Client</t>
  </si>
  <si>
    <t>LES (Liquid Environmental Solutions)</t>
  </si>
  <si>
    <t>Platform</t>
  </si>
  <si>
    <t>Microsoft Dynamics 365 CE (Sales + Customer Service)</t>
  </si>
  <si>
    <t>Total Requirements</t>
  </si>
  <si>
    <r>
      <rPr>
        <b/>
        <sz val="14"/>
        <color theme="4"/>
        <rFont val="Aptos Narrow"/>
        <family val="2"/>
      </rPr>
      <t>👥</t>
    </r>
    <r>
      <rPr>
        <b/>
        <sz val="14"/>
        <color theme="1"/>
        <rFont val="Aptos Narrow"/>
        <family val="2"/>
      </rPr>
      <t xml:space="preserve"> Key Stakeholders</t>
    </r>
  </si>
  <si>
    <t>Ammon Woods</t>
  </si>
  <si>
    <t>Primary Business Owner / Sales Operations</t>
  </si>
  <si>
    <t>Bryan Jaska</t>
  </si>
  <si>
    <t>Sales Representative / Field Sales</t>
  </si>
  <si>
    <t>Lena</t>
  </si>
  <si>
    <t>Government Team Representative</t>
  </si>
  <si>
    <t>Sekela Fobbs</t>
  </si>
  <si>
    <t>Inside Sales Coordinator</t>
  </si>
  <si>
    <t>Thomas Crutcher</t>
  </si>
  <si>
    <t>Pricing / Operations</t>
  </si>
  <si>
    <r>
      <rPr>
        <b/>
        <sz val="14"/>
        <color theme="4"/>
        <rFont val="Aptos Narrow"/>
        <family val="2"/>
      </rPr>
      <t>📊</t>
    </r>
    <r>
      <rPr>
        <b/>
        <sz val="14"/>
        <color theme="1"/>
        <rFont val="Aptos Narrow"/>
        <family val="2"/>
      </rPr>
      <t xml:space="preserve"> Scope Summary by Module</t>
    </r>
  </si>
  <si>
    <t>Module</t>
  </si>
  <si>
    <t>Description</t>
  </si>
  <si>
    <t>Lead Management</t>
  </si>
  <si>
    <t>Two-path lead intake, attribution, validation, assignment &amp; routing, activity logging, batch import</t>
  </si>
  <si>
    <t>Opportunity Management</t>
  </si>
  <si>
    <t>9-stage BPF pipeline, role-based forms, win/loss tracking, pipeline hygiene alerts</t>
  </si>
  <si>
    <t>Account Management</t>
  </si>
  <si>
    <t>Account classification, territory management, account plans, stakeholder mapping</t>
  </si>
  <si>
    <t>Pricing &amp; Contracts</t>
  </si>
  <si>
    <t>Pricing request workflow, mass price increase, auto-escalator, contract management</t>
  </si>
  <si>
    <t>Integration</t>
  </si>
  <si>
    <t>Zoom Info, SharePoint, E-Signature, CE → F&amp;O sync, GP Windsoft data sync</t>
  </si>
  <si>
    <t>Customer Service</t>
  </si>
  <si>
    <t>Case management, SLA timers, escalation automation, Power Pages portal</t>
  </si>
  <si>
    <t>Reporting</t>
  </si>
  <si>
    <t>Sales pipeline dashboard, KPI scorecards, Power BI connection</t>
  </si>
  <si>
    <r>
      <rPr>
        <b/>
        <sz val="14"/>
        <color theme="4"/>
        <rFont val="Aptos Narrow"/>
        <family val="2"/>
      </rPr>
      <t>📈</t>
    </r>
    <r>
      <rPr>
        <b/>
        <sz val="14"/>
        <color theme="1"/>
        <rFont val="Aptos Narrow"/>
        <family val="2"/>
      </rPr>
      <t xml:space="preserve"> Requirement Statistics</t>
    </r>
  </si>
  <si>
    <t>Metric</t>
  </si>
  <si>
    <t>Count</t>
  </si>
  <si>
    <t>Total Requirements (LES BRD)</t>
  </si>
  <si>
    <t>Scope Checklist Items</t>
  </si>
  <si>
    <t>In-Scope Items</t>
  </si>
  <si>
    <t>Out of Scope Items</t>
  </si>
  <si>
    <r>
      <rPr>
        <b/>
        <sz val="14"/>
        <color theme="4"/>
        <rFont val="Aptos Narrow"/>
        <family val="2"/>
      </rPr>
      <t>📁</t>
    </r>
    <r>
      <rPr>
        <b/>
        <sz val="14"/>
        <color theme="1"/>
        <rFont val="Aptos Narrow"/>
        <family val="2"/>
      </rPr>
      <t xml:space="preserve"> Document Structure</t>
    </r>
  </si>
  <si>
    <t>Sheet Name</t>
  </si>
  <si>
    <t>LES BRD</t>
  </si>
  <si>
    <t>Detailed requirements with ID, date, requester, scope, priority, and technical comments</t>
  </si>
  <si>
    <t>Scope Checklist Requirements</t>
  </si>
  <si>
    <t>Comprehensive checklist of system requirements by category</t>
  </si>
  <si>
    <t>Scope</t>
  </si>
  <si>
    <t>Items included in Phase 1 implementation</t>
  </si>
  <si>
    <t>Out of Scope</t>
  </si>
  <si>
    <t>Items explicitly excluded from Phase 1</t>
  </si>
  <si>
    <t>Sign Off - Acceptance</t>
  </si>
  <si>
    <t>Signature and acceptance tracking</t>
  </si>
  <si>
    <t>LOV's</t>
  </si>
  <si>
    <t>List of Values (lookup tables) for data validation</t>
  </si>
  <si>
    <t>Selections</t>
  </si>
  <si>
    <t>Dropdown selection options for requirement fields</t>
  </si>
  <si>
    <t>Prepared by Synoptek | Microsoft Dynamics 365 Implementation Partner</t>
  </si>
  <si>
    <t>LES D365 CRM Business Requirements Document (BRD)</t>
  </si>
  <si>
    <t>ID</t>
  </si>
  <si>
    <t>Date</t>
  </si>
  <si>
    <t>Source</t>
  </si>
  <si>
    <t>Requester</t>
  </si>
  <si>
    <t>Sub-part</t>
  </si>
  <si>
    <t>Requirement as high-level need, spec or user story</t>
  </si>
  <si>
    <t>Have today?</t>
  </si>
  <si>
    <t>Priority</t>
  </si>
  <si>
    <t>Requirement Status</t>
  </si>
  <si>
    <t>Scope2</t>
  </si>
  <si>
    <t>Context, examples, clarifications, business rules</t>
  </si>
  <si>
    <t>Technical Comments</t>
  </si>
  <si>
    <t>Remarks</t>
  </si>
  <si>
    <t>Requested By</t>
  </si>
  <si>
    <t>LES-001</t>
  </si>
  <si>
    <t>03/24/2026</t>
  </si>
  <si>
    <t>Discovery Session</t>
  </si>
  <si>
    <t>Ammon Woods / Bryan Jaska</t>
  </si>
  <si>
    <t>Lead</t>
  </si>
  <si>
    <t>Lead Intake &amp; Creation</t>
  </si>
  <si>
    <t>As a sales rep, I need two supported paths to capture a prospect: (1) create a Lead record for inbound/campaign contacts, or (2) create an Opportunity directly for self-generated outbound prospects — so that the intake process matches the type of selling motion without forcing unnecessary steps.</t>
  </si>
  <si>
    <t>Have and want to change/improve</t>
  </si>
  <si>
    <t>Must Have</t>
  </si>
  <si>
    <t>New</t>
  </si>
  <si>
    <t>D365 OOB with config</t>
  </si>
  <si>
    <t>Current CRM forces all reps through a lead-qualify-opportunity chain even for self-generated prospects, causing Bryan Jaska and others to bypass leads entirely. Inbound leads (website form, call centre, campaigns, trade shows) must always start as Leads for conversion tracking. Self-generated prospects can go directly to Opportunity at 'Target' stage. Business card scanner on mobile should create a Lead. Minimum lead fields: First Name, Last Name, Email, Lead Source, Number of Locations, Waste Stream.</t>
  </si>
  <si>
    <t>Configure two BPFs: Lead-to-Opportunity (inbound) and direct Opportunity creation (outbound). Business Rule: minimum mandatory fields on Lead form. Map all lead fields to opportunity on qualification. Mobile app business card scan → Lead create via OCR.</t>
  </si>
  <si>
    <t>LES-002</t>
  </si>
  <si>
    <t>Lead Attribution</t>
  </si>
  <si>
    <t>As a sales manager, I need a Lead Source field on Lead and Opportunity with values: Inbound Call, Website Form, Zoom Info, Sales Navigator, Trade Show, Government Portal (Guspin/other), Referral, Cold Outreach, and Other — so that source attribution reporting is accurate and no rep is forced to use 'Other' for legitimate sources.</t>
  </si>
  <si>
    <t>Lena (Government team) uses government bid portals (e.g., Guspin) and currently logs them as 'Other' because no specific option exists. Bryan Jaska uses Zoom Info and Sales Navigator. Lead Source must carry through to Opportunity on conversion and be reportable in pipeline dashboards for Goldman Sachs monthly reporting.</t>
  </si>
  <si>
    <t>Extend OOB LeadSourceCode option set. Ensure Lead Source maps to Opportunity on Lead qualification. Add to standard pipeline views and dashboards.</t>
  </si>
  <si>
    <t>Ammon Woods / Lena / Bryan Jaska</t>
  </si>
  <si>
    <t>LES-003</t>
  </si>
  <si>
    <t>Lead Validation</t>
  </si>
  <si>
    <t>As a sales rep, I need qualifying a lead to convert all lead data (contact, company, waste stream, locations, source, notes, activities) to the opportunity in a single click — without re-entry or loss of data — so that the qualification step creates value rather than burden.</t>
  </si>
  <si>
    <t>Current qualification process drops some field data and activity history during conversion. Some opportunities become 'stuck' due to missing required fields introduced after original creation. Qualification criteria: rep has made real contact with a decision-maker AND confirmed the prospect has a relevant waste service need. Business Rule must block qualification if minimum fields are blank.</t>
  </si>
  <si>
    <t>Full field mapping on Lead-to-Opportunity conversion. Business Rule: block qualification if Lead Source, Waste Stream, or Number of Locations are empty. Activity timeline carries through from Lead to Opportunity. Lock backward BPF stage transitions.</t>
  </si>
  <si>
    <t>Bryan Jaska / Ammon Woods</t>
  </si>
  <si>
    <t>LES-004</t>
  </si>
  <si>
    <t>03/27/2026</t>
  </si>
  <si>
    <t>Lead Assignment</t>
  </si>
  <si>
    <t>As a sales manager, I need inbound leads automatically assigned to the correct sales rep or team queue based on: number of locations, account type, waste stream, and geography/territory — with a fallback round-robin within team — so that no lead sits unworked and time-to-first-contact is minimised.</t>
  </si>
  <si>
    <t>Don't have, gap/pain point -Need improvement</t>
  </si>
  <si>
    <t>Config &amp; workflow automation</t>
  </si>
  <si>
    <t>Currently customer service emails reps individually for inbound leads — no systematic routing. Routing logic (priority order): &gt;51 locations → Key Account team; 11–50 locations → Regional Sales Rep by territory zip code; ≤10 locations → Inside Sales (IAS) queue; Government keyword in source/description → Government team; Industrial/Processing waste streams → Industrial team. Fallback: round-robin within assigned team. Rep notified via email + Teams on assignment.</t>
  </si>
  <si>
    <t>Power Automate assignment flow on Lead creation. Conditions: Number of Locations field, Account Type, Waste Stream option set, Territory lookup by zip code. D365 Assignment Rules if license includes it. Teams adaptive card notification to assigned rep.</t>
  </si>
  <si>
    <t>Territory table (zip-to-rep mapping) must be configured as prerequisite.</t>
  </si>
  <si>
    <t>LES-005</t>
  </si>
  <si>
    <t>Lead Interaction</t>
  </si>
  <si>
    <t>As a sales rep, I need all communications (calls, emails, meetings, voicemails, Teams messages) logged against the Lead or Opportunity timeline so that a complete interaction history is visible to any team member without relying on personal notes.</t>
  </si>
  <si>
    <t>Bryan Jaska currently logs contact names in the notes field rather than creating proper Contact records and Activity entries. Reps do not always change the contact person for each interaction. Activity timeline must be visible without navigating multiple screens. Outlook and Teams native sync must work so reps can log from mobile/email without opening CRM.</t>
  </si>
  <si>
    <t>Enable Outlook add-in and Teams calling integration. Quick create Activity from Lead/Opportunity timeline. Configure mandatory Contact linkage when a decision-maker is identified. Activities sync through from Lead to Opportunity on conversion.</t>
  </si>
  <si>
    <t>LES-006</t>
  </si>
  <si>
    <t>Lead Intake — Batch &amp; API</t>
  </si>
  <si>
    <t>As a sales operations manager, I need the ability to batch-import lead lists (e.g., top 100 transportation companies, vertical campaign lists) via CSV and assign them to specific reps or territories in bulk — with automatic duplicate detection on import — so that campaign-driven prospecting is launched quickly and tracked accurately.</t>
  </si>
  <si>
    <t>Config &amp; integration</t>
  </si>
  <si>
    <t>Previously purchased lists were loaded as opportunities and are now unmanaged 'hanging' records. Future state: CSV bulk lead import with owner assignment and de-duplication check against existing accounts, contacts, and leads before creation. Campaign tag auto-assigned on import. Espalier.ai (AI lead generation platform) is under technical evaluation and may be an additional source.</t>
  </si>
  <si>
    <t>D365 Data Import Wizard for CSV lead files. Power Automate post-import: run duplicate detection, auto-assign territory/owner, apply campaign tag. Espalier.ai API integration TBD (pending Thursday technical assessment).</t>
  </si>
  <si>
    <t>Espalier.ai is a Goldman Sachs recommendation — evaluate for API or webhook integration.</t>
  </si>
  <si>
    <t>LES-007</t>
  </si>
  <si>
    <t>Zoom Info Integration</t>
  </si>
  <si>
    <t>As a sales rep, I need Zoom Info integrated with CRM so that I can pull contact and company data directly into Lead and Contact records from within CRM, and have contact records automatically updated when people change roles — eliminating manual copy-paste between Zoom Info and CRM.</t>
  </si>
  <si>
    <t>Reps currently use Zoom Info web application separately and manually copy data to CRM. Zoom Info tracks companies visiting LES's website by vertical and provides intent signals. Bryan Jaska and Ammon Woods both rely on Zoom Info as primary prospecting intelligence. Phase 1: manual lookup from within CRM (embedded widget or side panel). Phase 2: automated enrichment when new leads/contacts are created.</t>
  </si>
  <si>
    <t>Zoom Info native Dynamics 365 connector or API integration via middleware. Phase 1: embedded side panel for lookup. Phase 2: automated enrichment flow on Lead/Contact create. Intent data feed for website visitors surfaced as leads.</t>
  </si>
  <si>
    <t>Phase 1 only in scope. Phase 2 enrichment automation deferred.</t>
  </si>
  <si>
    <t>LES-008</t>
  </si>
  <si>
    <t>Opportunity</t>
  </si>
  <si>
    <t>As a sales leader, I need a standardised opportunity pipeline with these stages enforced by Business Process Flow: Target → Qualified → Craft Solution → Pitch/Present → Shortlist → Negotiate → Committed Pending → Committed Ready → Closed Won / Closed Lost — with stage-specific required fields and time-in-stage tracking — so that pipeline reporting is consistent, accurate, and supports Goldman Sachs monthly review requirements.</t>
  </si>
  <si>
    <t>Ammon Woods defined stages: Target = actively prospecting; Qualified = real engagement confirmed; Craft Solution = building pricing/proforma; Pitch/Present = proposal delivered; Shortlist = in competitive final selection; Negotiate = trading paper; Committed Pending = signed agreement, account setup in progress; Committed Ready = account fully set up in F&amp;O and ready to service; Closed Won = implemented; Closed Lost = lost at any stage. Stage timing triggers differ by team: Inside Sales = short cycle; Field Regional = medium; National/Key Account = 6–18 months.</t>
  </si>
  <si>
    <t>D365 BPF with 9 stages. Stage-entry/exit required fields enforced at BPF level. Time-in-stage rollup field per stage. BPF branches by Account Type: Standard, National/Key Account, Government, Industrial. Closed Lost requires mandatory reason code and optional competitor notes.</t>
  </si>
  <si>
    <t>Ammon Woods to share stage definitions document with full entry/exit criteria.</t>
  </si>
  <si>
    <t>LES-009</t>
  </si>
  <si>
    <t>Ammon Woods / Training Room - Irving</t>
  </si>
  <si>
    <t>As a sales rep, I need the opportunity form to capture: Account Type, Waste Stream(s), Number of Locations, Estimated Annual Revenue, Margin %, Pricing Stage, Proposal Date, Follow-up Date, Next Steps, Close Date — with Margin % made mandatory only for National/Key Account opportunities or those with &gt;10 locations — so that pipeline data quality is maintained without creating false data entry burdens on coordinators.</t>
  </si>
  <si>
    <t>Margin % is currently required on ALL opportunities causing coordinators to enter dummy values for routine add-location opportunities where pricing is unknown. Government team does not use margin (fixed bid pricing). Inside Sales coordinators should have a simplified form view. Sekela Fobbs confirmed coordinators have 45 opportunities in queue and need minimal-friction data entry.</t>
  </si>
  <si>
    <t>Business Rule: Margin % required only when Account Type = National/Key Account OR Number of Locations &gt; 10. Create role-based form views: Full (Sales Reps), Coordinator (IAS admins), Government. Formula fields for pipeline value rollup. Segment-specific BPF enforces stage-level fields, not form-level mandatory.</t>
  </si>
  <si>
    <t>Ammon Woods / Sekela Fobbs</t>
  </si>
  <si>
    <t>LES-010</t>
  </si>
  <si>
    <t>03/25/2026</t>
  </si>
  <si>
    <t>Training Room - Irving / Sekela Fobbs</t>
  </si>
  <si>
    <t>As a sales coordinator, I need to create add-location opportunities under an existing parent account with all parent-level contract terms (ancillary fees, E&amp;E fee codes, price escalator %, time windows, PO required flag) automatically pre-populated from the master customer contract — so that new locations are set up consistently without manual lookup of contract terms.</t>
  </si>
  <si>
    <t>Currently coordinators manually reference the parent account's contract in CRM or GP Windsoft and copy terms to each new add-location opportunity. This causes: wrong E&amp;E fees, wrong price escalators, wrong ancillary pricing, zero-dollar fees that should be non-zero. Thomas Crutcher flagged that even Walmart locations have been set up with missing E&amp;E fees in the past.</t>
  </si>
  <si>
    <t>Power Automate flow: when new Opportunity is created linked to existing Account, query parent Customer Contract record → pre-populate: Coordinated Fee flag, Emergency Fee flag, Energy Fee code, Environmental Fee code, Escalator %, PO Required flag, Time Window, Auto-Renew flag. Business Rule: lock inherited fee fields — override requires manager approval flag.</t>
  </si>
  <si>
    <t>Customer Contract entity must be fully populated as prerequisite (LES-025).</t>
  </si>
  <si>
    <t>LES-011</t>
  </si>
  <si>
    <t>Win/Loss</t>
  </si>
  <si>
    <t>As a sales manager, I need three closing options on an Opportunity: (1) Closed Won — move to Committed Pending for account setup; (2) Closed Lost — mandatory reason code selection and optional competitor/notes capture; (3) Partial Win — clone the opportunity, reduce won scope on the original, carry remaining scope as a new active opportunity — so that pipeline hygiene is maintained and win/loss analysis is actionable.</t>
  </si>
  <si>
    <t>Bryan Jaska: won 300 of 900 Pep Boys locations — won portion commits, remaining 600 stays live. Government team (Lena): amends opportunity down to awarded count. Close Lost reason codes: Price Too High, Competitor Won, Operational Limitation, Compliance/Profile Failure, Customer Decision to Stay, Discontinued/Deferred, Duplicate. Re-open capability required for Closed Lost records.</t>
  </si>
  <si>
    <t>Configure Close Reason field (option set) as mandatory on Closed Lost transition. 'Split Opportunity' button: clone record with reduced location count, create child opportunity for remaining scope with link to parent. Close Deferred stage option with Reactivation Date. Reopen button on Closed Lost opportunity.</t>
  </si>
  <si>
    <t>Ammon Woods / Bryan Jaska / Marc Cook</t>
  </si>
  <si>
    <t>LES-012</t>
  </si>
  <si>
    <t>Management</t>
  </si>
  <si>
    <t>Risk</t>
  </si>
  <si>
    <t>As a sales manager, I need a 'Clean Room' pipeline hygiene dashboard and automated alerts when: (1) a Lead has had no activity for 48 hours, (2) an Opportunity has had no activity for 72 hours, (3) an Opportunity has been in the same stage for more than 30 days, (4) an Opportunity's estimated close date is past — so that stale pipeline is visible before manager review calls.</t>
  </si>
  <si>
    <t>Bryan Jaska has ~300 open opportunities with many having no recent activity. Ammon Woods wants a dedicated 'dirty pipeline' dashboard view for managers before Monday pipeline reviews. Alerts go to record owner AND their direct manager. Dashboard filterable by rep, team, waste stream, account type.</t>
  </si>
  <si>
    <t>Power Automate scheduled flow (every 4 hours): check LastActivityDate on Lead (48hrs threshold) and Opportunity (72hrs threshold). Separate flow for stage age &gt;30 days and past close date. Create Task + send email + Teams notification to owner and manager. Clean Room dashboard: system view showing all opportunities meeting hygiene thresholds.</t>
  </si>
  <si>
    <t>LES-013</t>
  </si>
  <si>
    <t>Contacts</t>
  </si>
  <si>
    <t>Collaboration &amp; communication</t>
  </si>
  <si>
    <t>As a sales leader, I need automated sales activity scorecards tracked within CRM per rep showing: number of dials, meetings held, proposals sent, opportunities advanced per stage, and closes — measured against quota targets — so that manual Monday-morning reporting is eliminated and coaching is data-driven.</t>
  </si>
  <si>
    <t>Ammon Woods shared a manual Excel scorecard. Currently a KPI report is compiled manually each Monday and emailed to reps. Key metrics: dials (phone call activities logged), meetings (appointment activities), proposals (opportunity stage = Pitch/Present or document attached), closes (Closed Won). Quota targets set by manager per rep. Teams calls made via personal devices — Teams integration needed to capture call count.</t>
  </si>
  <si>
    <t>D365 Goals entity: configure goal metrics for Call Activities, Appointment Activities, Opportunities Advanced, Closed Won per rep. Rollup fields on User record for weekly/monthly actuals. Power Automate: auto-email scorecard to rep + manager every Monday 6AM. Teams calling integration for call count capture. Dashboard: manager view of all reps vs. quota.</t>
  </si>
  <si>
    <t>Microsoft Teams calling integration required for dial count to be captured automatically.</t>
  </si>
  <si>
    <t>LES-014</t>
  </si>
  <si>
    <t>Activities</t>
  </si>
  <si>
    <t>As a sales leader, I need all activity scorecard metrics (dials, meetings, proposals, closes) to be automatically captured from CRM activity records — without manual entry by reps — and aggregated against quota targets set per rep per period — so that managers have real-time performance visibility and reps are not burdened with duplicate reporting.</t>
  </si>
  <si>
    <t>Scorecard data must flow from: Phone Call activities (dials), Appointment activities (meetings), Opportunity stage movement (proposals/advances), Closed Won status changes (closes). Teams calling integration is needed to capture dials made from personal devices or Teams. If calls are not made through Teams, a manual quick-log option on mobile must be provided. Related to LES-013 (Contact quota configuration).</t>
  </si>
  <si>
    <t>Activity type mapping: Phone Call → dial count; Appointment → meeting count; Opportunity stage change to Pitch/Present → proposal count; Closed Won → close count. Teams Phone System integration for automatic call logging. Mobile quick-log activity card. Rollup to Goals entity (LES-013).</t>
  </si>
  <si>
    <t>Microsoft Teams calling integration is prerequisite for automatic dial capture.</t>
  </si>
  <si>
    <t>LES-015</t>
  </si>
  <si>
    <t>Cross Channel</t>
  </si>
  <si>
    <t>As a field sales rep, I need route optimisation and mapping integrated with CRM so that I can plan daily account visit routes from my Contact and Account records — viewing accounts on a map, building an optimised route, and navigating to each stop — without switching to a separate mapping application.</t>
  </si>
  <si>
    <t>Should Have</t>
  </si>
  <si>
    <t>3rd party solution</t>
  </si>
  <si>
    <t>Ammon Woods identified field routing optimisation as a gap. Discussed options: Badger Maps (third-party) and Maplytics (D365-native). Field sales reps make in-person customer visits. The solution must integrate with D365 CE Account and Contact records to build route from CRM data. Maplytics is preferred for native D365 integration — works within the CRM UI without context switching.</t>
  </si>
  <si>
    <t>Evaluate Maplytics (D365-native, preferred) vs Badger Maps integration. Maplytics: map view of Accounts/Contacts with route optimisation, navigate from within CRM. Badger Maps: external app with D365 connector. License cost to be evaluated for both.</t>
  </si>
  <si>
    <t>Maplytics preferred for native D365 integration. Badger Maps is alternative. License cost to be evaluated.</t>
  </si>
  <si>
    <t>LES-016</t>
  </si>
  <si>
    <t>As a field sales rep, I need to log a visit Activity directly from my mobile device when I check in at a customer location — capturing the account visited, time, purpose, and any notes — and track mileage driven per day — so that all field activity is recorded in CRM without returning to the office.</t>
  </si>
  <si>
    <t>Field reps currently have no structured way to log visits from the road. Mileage tracking is needed for expense reporting. Visit activity must link to the Account and/or Opportunity record. Maplytics one-tap check-in creates a Visit Activity record. D365 mobile app quick-log is the fallback. Mileage logging field should be on the Appointment/Phone Call activity form. Related to LES-015 (Contact/Account map view).</t>
  </si>
  <si>
    <t>Maplytics one-tap check-in: creates Appointment activity linked to Account, pre-populates location and timestamp. D365 mobile quick-create activity as fallback. Add Mileage (number) field to Appointment activity form. Daily mileage rollup report per rep for expense submission.</t>
  </si>
  <si>
    <t>Related to LES-015. Both items are part of the same Maplytics/Badger Maps evaluation.</t>
  </si>
  <si>
    <t>LES-017</t>
  </si>
  <si>
    <t>Training Room - Irving / Ammon Woods</t>
  </si>
  <si>
    <t>Accounts</t>
  </si>
  <si>
    <t>Segmentation</t>
  </si>
  <si>
    <t>As a sales operations manager, I need each Account flagged with a controlled classification: National Key Account (&gt;51 locations), Regional (11–50 locations), Inside Sales IAS (≤10 locations), Government, or Industrial/Processing — enforced via Business Rule with manager-only override — so that routing, territory assignment, and reporting are accurate and consistent.</t>
  </si>
  <si>
    <t>Current classification is gut-feel and inconsistently applied: accounts with 100+ locations exist in IAS; there is no automatic enforcement. Tier promotion (e.g., IAS → Regional → National) is manual, typically done at year-end due to commission plan implications. An IAS flag field exists but is not enforced. Government accounts cannot have E&amp;E fees. Industrial/Processing accounts require waste profile process not applicable to commercial accounts.</t>
  </si>
  <si>
    <t>Enforce Account Classification field (option set: National Key Account | Regional | Inside Sales | Government | Industrial/Processing). Business Rule: auto-suggest classification based on Number of Locations with manager-override flag. Classification change requires approval workflow — notify commission plan owner. Show/hide form sections based on classification (e.g., hide E&amp;E fees for Government).</t>
  </si>
  <si>
    <t>Commission plan impact assessment required before enabling automatic tier promotion.</t>
  </si>
  <si>
    <t>LES-018</t>
  </si>
  <si>
    <t>As a sales operations manager, I need Contact records associated with an Account to inherit the Account's classification segment — and be automatically linked to the correct sales team or territory owner — so that communications, activities, and campaign targeting are always aligned to the correct segment without manual re-assignment.</t>
  </si>
  <si>
    <t>When an Account is reclassified (e.g., IAS to Regional), all associated Contacts should be visible to the new owning rep/team. Contacts on National accounts may span multiple regions; Contact owner should match the Account's primary sales rep. Key contacts (Decision Maker, Influencer, Champion roles) identified in Account Plan (LES-022) must be surfaced in Contact records for campaign targeting.</t>
  </si>
  <si>
    <t>Business Rule: Contact Owner = Account Owner on creation. Power Automate: when Account Classification changes → update Contact Owner to new Account Owner. Contact form: show Account Classification as read-only field inherited from parent Account. Contact role field (Decision Maker/Influencer/Champion/Other) for targeting.</t>
  </si>
  <si>
    <t>Related to Account classification (LES-017) and territory management (LES-020).</t>
  </si>
  <si>
    <t>LES-019</t>
  </si>
  <si>
    <t>Training Room - Irving</t>
  </si>
  <si>
    <t>Account/ Territory Assignments</t>
  </si>
  <si>
    <t>As a sales operations leader, I need territory management configured so that accounts and opportunities are owned by a territory (not an individual rep) — enabling mass reassignment when a rep leaves by simply changing the territory owner — reducing what currently takes hours of manual updates to seconds.</t>
  </si>
  <si>
    <t>When a rep leaves today, every account and opportunity must be manually reassigned one by one. LES is hiring 40 key account managers — this will be a frequent recurring need. Territory catalog design: Account belongs to Territory 18; Territory 18 is owned by Rep A; when Rep A leaves, reassign Territory 18 to Rep B and all accounts/opportunities auto-transfer.</t>
  </si>
  <si>
    <t>D365 Territory entity. Territory lookup on Account and Opportunity. Territory-based security roles for data access. Power Automate: when Territory Owner field changes, mass-update related Account and Opportunity Owner fields. Report: all records by territory for pre-reassignment review.</t>
  </si>
  <si>
    <t>LES-020</t>
  </si>
  <si>
    <t>Visibility</t>
  </si>
  <si>
    <t>As a sales rep or manager, I need a structured Account Plan view within CRM capturing: revenue targets, whitespace analysis (current vs. potential locations), competitive landscape, strategic notes, and next quarterly objectives — so that Excel-based account plans are replaced by a live, shareable CRM record linked to the Account.</t>
  </si>
  <si>
    <t>Customization/development</t>
  </si>
  <si>
    <t>Ammon Woods shared an Excel-based account plan template during the March 27 session. It captures revenue targets, whitespace, stakeholders, and strategy. This needs to live in CRM so it is always current and linked to related opportunities. Custom entity or canvas app embedded in Account form. Power BI dashboard to aggregate account plan data across the portfolio.</t>
  </si>
  <si>
    <t>Custom entity: Account Plan linked to Account. Fields: Revenue Target, Current Revenue (rollup from Opportunities), Whitespace (calculated), Competitive Notes, Strategic Objectives, Next QBR Date. Surface in Power BI for portfolio-level view.</t>
  </si>
  <si>
    <t>Ammon Woods to provide Excel template for field mapping.</t>
  </si>
  <si>
    <t>LES-021</t>
  </si>
  <si>
    <t>As a sales rep or manager, I need a stakeholder map within the Account Plan capturing all key Contacts and their roles (Decision Maker, Influencer, Champion, Technical Buyer) — linked to actual Contact records in CRM — so that multi-threaded account management is tracked and relationship gaps are visible.</t>
  </si>
  <si>
    <t>National and key account management requires tracking multiple contacts across multiple departments (Procurement, Facilities, Operations, Finance). Ammon Woods's Excel account plan template includes a stakeholder section. The Contact role field (LES-018) feeds into this stakeholder map. Relationship mapping should show gaps — e.g., no champion identified, no C-suite contact.</t>
  </si>
  <si>
    <t>Account Plan entity: Key Contacts sub-grid with Role field (Decision Maker/Influencer/Champion/Technical Buyer) linked to Contact records. Rollup: count of contacts per role. Alert if no Decision Maker linked. Optionally surface as relationship map canvas in Power Apps.</t>
  </si>
  <si>
    <t>Related to LES-020 (Account Plan) and LES-018 (Contact segmentation).</t>
  </si>
  <si>
    <t>LES-022</t>
  </si>
  <si>
    <t>Training Room - Irving / Thomas Crutcher</t>
  </si>
  <si>
    <t>Pricing Workflow</t>
  </si>
  <si>
    <t>As a sales rep, I need a CRM-driven pricing request workflow that replaces email-based requests to the pricing team: I submit a pricing request from within the Opportunity at 'Craft Solution' stage; the pricing team receives it in a CRM queue; they complete the pricing and update the Opportunity directly; I am notified when pricing is ready — so that pricing is tracked, auditable, and managed entirely within CRM.</t>
  </si>
  <si>
    <t>Current state: rep emails Thomas/Brian Henley → they run Excel pricing model → reply via shared email inbox → rep manually enters pricing into CRM. No SLA tracking, no visibility into request status, no audit trail. The Excel pricing model (grease, OWS, grit, UCO, industrial) will remain external in Phase 1 — the CRM workflow replaces the email channel only. For national/key accounts, pricing approval often requires executive sign-off.</t>
  </si>
  <si>
    <t>Add 'Request Pricing' action button on Opportunity form (visible at Craft Solution stage). Creates Pricing Request record (custom entity) linked to Opportunity. Auto-routes to Pricing Team queue (Thomas Crutcher / Brian Henley). Pricing team updates Opportunity price fields directly. Power Automate: notify rep when pricing fields updated. SLA timer on Pricing Request record (target: 48 hrs).</t>
  </si>
  <si>
    <t>Phase 1: CRM workflow replaces email only. Excel pricing model remains external. Phase 2: evaluate integration of pricing model logic.</t>
  </si>
  <si>
    <t>LES-023</t>
  </si>
  <si>
    <t>As a pricing manager, I need CRM to track pricing validity and send automated reminders: 30-day validity for Regional/Local accounts and 60-day validity for Key/National accounts — notifying the sales rep 7 days before expiry and blocking stage progression if pricing expires — so that reps do not quote stale rates.</t>
  </si>
  <si>
    <t>Thomas Crutcher confirmed pricing proposals default to 60 days for key accounts and 30 days for regional/local. No system currently tracks pricing expiry — reps sometimes quote months-old pricing. Pricing validity starts from the date the Pricing Request is marked Approved/Completed.</t>
  </si>
  <si>
    <t>Add Pricing Approved Date and Pricing Expiry Date (calculated: Approved Date + 30 or 60 days based on Account Classification) on Opportunity. Scheduled Power Automate (daily): 7 days before expiry → email rep. On expiry date → flag Opportunity 'Pricing Expired', block stage advancement past Craft Solution until re-priced.</t>
  </si>
  <si>
    <t>Thomas Crutcher / Training Room - Irving</t>
  </si>
  <si>
    <t>LES-024</t>
  </si>
  <si>
    <t>As a regional sales rep, I need zip-code-based rate card pricing (A/B/C tiers: Gold/Silver/Bronze) available within the CRM Opportunity form — so that I can self-serve standard pricing for regional accounts without engaging the pricing team, while deals outside the rate card automatically trigger a pricing review request.</t>
  </si>
  <si>
    <t>Regional reps currently use locked-down Excel price checkers distributed by Thomas Crutcher. These are zip-code-based with A/B/C pricing tiers. If the entered price deviates from the rate card by a threshold, it should auto-trigger LES-022 pricing review. MaryBeth Reinauer confirmed price books exist in Excel and can be migrated.</t>
  </si>
  <si>
    <t>Price List entity in D365 CE with zip code lookup table. Rate card records per region/tier. Business Rule on Opportunity: zip code entry → auto-suggest A/B/C pricing tier. If rep enters price outside ±X% of rate card → trigger Pricing Request (LES-022). Phase 1: rate card reference only. Phase 2: full price book integration.</t>
  </si>
  <si>
    <t>Phase 2 item. MaryBeth to provide Excel rate card files for data migration planning.</t>
  </si>
  <si>
    <t>Training Room - Irving / MaryBeth Reinauer</t>
  </si>
  <si>
    <t>LES-025</t>
  </si>
  <si>
    <t>Customer Contract Management</t>
  </si>
  <si>
    <t>As a pricing manager, I need a CRM-supported mass price increase workflow where: Thomas's team defines the list of accounts, % increase, and effective date in CRM; the system generates the required task-code-level update file for IT/F&amp;O import; and the pricing change is auditably recorded against each affected account — replacing the current manual SQL export → Excel → IT help-desk-ticket chain.</t>
  </si>
  <si>
    <t>Thomas Crutcher walked through the current mass price increase process: (1) pull active customer listing from GP Windsoft SQL table (SV00582); (2) filter to target accounts; (3) build Excel file with task-code-level old/new prices and effective date; (4) email to IT; (5) IT runs SQL script. For April 2026 price increase, ~3000 accounts are being changed, ~half are PO-driven requiring NTE updates communicated to sales reps. No audit trail exists in CRM; customer service has zero visibility when a customer asks why their bill changed.</t>
  </si>
  <si>
    <t>Custom Price Increase Campaign entity: linked accounts list, effective date, % increase by task code category (base/ancillary). Workflow: generate change summary per account → route to sales rep for NTE communication → IT import approval step → mark as implemented. Post-implementation: sync updated prices back to CRM customer contract records. Audit log: price change history per account.</t>
  </si>
  <si>
    <t>Phase 1 priority per Thomas Crutcher. NTE tracking is a related need (LES-028).</t>
  </si>
  <si>
    <t>LES-026</t>
  </si>
  <si>
    <t>As a sales rep, I need to be automatically notified via CRM when a mass price increase affects my accounts — including the new rates and updated NTE amounts — so that I can proactively update the customer's portal or PO before the effective date, preventing billing rejection.</t>
  </si>
  <si>
    <t>For PO-driven accounts (~50% of the 3000 affected), the sales rep must communicate the post-increase rate to the customer so they can update their purchase order NTE (Not-To-Exceed). Currently Thomas sends an Excel file to reps who then manually email customers. If the NTE is not updated before the effective date, billing rejection occurs. The notification must include: account name, location list, old price, new price, new NTE, effective date, and portal update instructions.</t>
  </si>
  <si>
    <t>Power Automate: when Mass Price Increase Campaign is marked 'Implemented' → for each affected account → notify assigned rep with price change details and NTE update checklist. Rep can mark 'Customer Notified' in CRM to confirm. Dashboard: accounts pending customer NTE update acknowledgement.</t>
  </si>
  <si>
    <t>Related to LES-025 (Mass Price Increase workflow).</t>
  </si>
  <si>
    <t>LES-027</t>
  </si>
  <si>
    <t>As a pricing manager, I need the automatic contract price escalator to work reliably in D365 F&amp;O — applying the agreed % increase on the contract anniversary date without manual intervention — and when a contract is put 'on hold', the system must flag that the escalation was skipped and prompt the pricing team to manually review and apply the missed increase when the hold is lifted.</t>
  </si>
  <si>
    <t>Current GP Windsoft limitation: when a contract is on hold and the anniversary date passes, the auto-escalator does not trigger AND does not retroactively apply when the hold is lifted. Thomas Crutcher and the team currently catch these manually — sometimes missed entirely, causing revenue leakage. Future state: D365 F&amp;O handles the auto-escalator; CRM surfaces escalation status and exceptions.</t>
  </si>
  <si>
    <t>D365 F&amp;O: configure contract escalator with anniversary date and % increase. When contract status = On Hold and anniversary date passes → create Escalation Missed alert record in CRM linked to Account. When hold is lifted → alert pricing team (Thomas) with missed escalation details. Power Automate: escalation review task assigned to pricing team rep.</t>
  </si>
  <si>
    <t>Dependency: D365 F&amp;O contract configuration. CRM surfaces visibility and exception management.</t>
  </si>
  <si>
    <t>LES-028</t>
  </si>
  <si>
    <t>As a pricing manager and customer service rep, I need a full audit trail of every pricing change on a customer account — including: date changed, old price, new price, task code affected, reason, and who approved — visible in CRM so that customer service can answer 'why did my bill go up?' without escalating to IT.</t>
  </si>
  <si>
    <t>Currently pricing changes go through IT help-desk tickets with no record in CRM. Customer service has no visibility when a customer calls about a price change. The only audit trail is in SQL tables accessible only to IT. The new system must make this visible in the Account timeline in CRM. Customer service and sales roles need read access to price change history.</t>
  </si>
  <si>
    <t>Price Change History sub-entity on Account: fields = Task Code, Change Date, Old Price, New Price, Change Type (option set: Mass Increase | Auto-Escalator | Off-Cycle Petition | Correction | New Account Setup), Approver (user lookup), Notes. Populated by mass increase workflow (LES-025), auto-escalator event, and manual change request. Visible as timeline entry on Account record.</t>
  </si>
  <si>
    <t>LES-029</t>
  </si>
  <si>
    <t>As an account manager, I need every customer Account to have a Customer Contract record in CRM capturing: Contract Start Date, Contract Expiry Date, Anniversary Date, Price Escalator %, Auto-Renew flag, Optional Extension terms, E&amp;E Fee codes, Coordinated/Emergency fee applicability, PO Required flag, NTE tracking, MSA document link, and Contract Status — so that this is the single source of truth for all child location setups and price increase communications.</t>
  </si>
  <si>
    <t>Customer Contract entity exists in CRM but 800+ records are inconsistently populated: E&amp;E fees not checked, contract dates stale, anniversary dates altered without explanation. The contract should drive: new location fee inheritance (LES-010), price increase anniversary alerts, contract renewal alerts 60/30/14 days before expiry, escalation terms, and PO communication. MSAs currently stored on C drives/Google files with limited access.</t>
  </si>
  <si>
    <t>Enforce mandatory fields on Customer Contract via Business Rule. Power Automate: 60/30/14 days before Expiry Date → notify account manager and ops. Anniversary Date approaching → notify pricing team. SharePoint document link for MSA storage (LES-037). NTE field on Customer Contract with update workflow when price increases are applied.</t>
  </si>
  <si>
    <t>NTE field is critical for PO customer billing compliance. ~50% of 3000 accounts are PO-driven.</t>
  </si>
  <si>
    <t>LES-030</t>
  </si>
  <si>
    <t>As a sales coordinator, I need Contact-level contract visibility — showing which contacts at a customer account are designated as contract signatories, billing contacts, and operational contacts — so that price increase communications, contract renewals, and billing notifications are sent to the right person without manual lookup.</t>
  </si>
  <si>
    <t>Currently when a price increase or renewal is due, reps manually email what they think is the right contact. There is no structured way in CRM to flag which contact on a national account receives billing notices vs. contract renewal notices vs. operational communications. For national accounts like Walmart or Starbucks, this distinction is critical and varies by account.</t>
  </si>
  <si>
    <t>Add Contact Role (option set: Contract Signatory | Billing Contact | Operational Contact | Key Decision Maker | Other) to the Account-Contact relationship. Power Automate: when price increase notification is triggered (LES-026), query Account for Billing Contact and send notification. Contract renewal alert sent to Contract Signatory.</t>
  </si>
  <si>
    <t>Related to Customer Contract record (LES-029) and contact segmentation (LES-018).</t>
  </si>
  <si>
    <t>LES-031</t>
  </si>
  <si>
    <t>As a sales coordinator, I need a controlled change request process in CRM for all account-level modifications (trap size, frequency, pricing, time window, special instructions) — where the change is logged with requester, reason, effective date, and approver — so that no invisible changes occur and customer service always knows the current status of any account modification.</t>
  </si>
  <si>
    <t>Currently changes to account setup in GP Windsoft go through IT help-desk tickets with no record in CRM. Trap sizes changed 6+ times on some accounts due to technician estimates. Off-cycle price increases alter anniversary dates without recording why. The coordinator (Taylor/McKenzie) currently emails back and forth with sales reps (Shane) to fix missing fields — this should be a CRM workflow.</t>
  </si>
  <si>
    <t>Change Request custom entity on Account: fields = Change Type (option set: Trap Size | Frequency | Pricing | Time Window | Special Instructions | E&amp;E Fee | Other), Current Value, Requested Value, Reason, Requested By, Effective Date, Approver (lookup), Status. Power Automate: Change Request created → route to Operations Manager or Pricing team based on Change Type → approve/reject → notify IT and update CRM record. Timeline entry on Account on approval.</t>
  </si>
  <si>
    <t>Trap size changes require Operations Manager approval specifically due to margin impact.</t>
  </si>
  <si>
    <t>LES-032</t>
  </si>
  <si>
    <t>As a customer service rep, I need to see a real-time log of all pending and completed change requests on an Account — including change type, status, effective date, and approver — directly from the Account form in CRM — so that I can accurately answer customer questions about service modifications without calling the coordinator or IT.</t>
  </si>
  <si>
    <t>Currently customer service has zero visibility into account changes. When a customer calls asking 'why did my frequency change?' or 'why is my service window different?' the CS rep must escalate to the coordinator or IT. The Change Request log (LES-031) must be visible to CS team as a read-only timeline on the Account record. CS team should also be able to initiate a Change Request on behalf of the customer.</t>
  </si>
  <si>
    <t>Change Request sub-grid on Account form (read-only for CS role). CS-initiated Change Request: 'Submit Change Request' button on Account form → pre-populated with account details → routed to coordinator queue. Notification to CS rep when Change Request is resolved with outcome. CS role security: read Change Request, create only (no edit/approve).</t>
  </si>
  <si>
    <t>Related to Change Request process (LES-031). CS initiation is a key workflow improvement.</t>
  </si>
  <si>
    <t>LES-033</t>
  </si>
  <si>
    <t>Equipment &amp; Task Configuration</t>
  </si>
  <si>
    <t>As a sales coordinator, I need the Opportunity form to support equipment entry (trap type, capacity, location type, regulatory ID, service frequency) with the task list automatically populated from the waste stream selection — and each task code mapped to a base price that defaults from the price master — so that account setup teams can replicate opportunity data into D365 F&amp;O without manual interpretation.</t>
  </si>
  <si>
    <t>When a waste stream is selected on the opportunity, a predefined task list should auto-populate mirroring D365 F&amp;O. Currently CRM and GP Windsoft maintain separate mirrored task lists manually. Unknown trap size should use a checkbox (not 999/99 workaround). Task lists must differentiate: base revenue tasks (fee for service) vs. ancillary tasks (emergency, coordinated, line jetting). Line jetting: only one variant (scheduled OR on-request) should appear — Business Rule to prevent both.</t>
  </si>
  <si>
    <t>Task List sub-grid on Opportunity. Auto-populate on waste stream selection. Add 'Trap Size Unknown' checkbox. Equipment sub-grid: Trap Type, Capacity (gallons), Location (Interior/Exterior/Basement), Regulatory ID. Task codes mirror D365 F&amp;O item master. Base Revenue flag on each task code. Line jetting Business Rule: only one variant selectable.</t>
  </si>
  <si>
    <t>GP Windsoft → D365 F&amp;O migration will automate the sync in future phases.</t>
  </si>
  <si>
    <t>LES-034</t>
  </si>
  <si>
    <t>As a billing administrator, I need trap size changes on active customer accounts to require manager approval via a controlled CRM workflow — so that unauthorised modifications that distort price-per-gallon calculations, margin reporting, and profitability analysis are prevented.</t>
  </si>
  <si>
    <t>One account had its trap size changed 6 times in 6 months. Technicians estimate trap sizes without digital gauges. Changes affect: price-per-gallon (if priced per gallon), margin calculations in Thomas's profitability model, and price increase calculations. Operations managers should approve trap size changes. The change should not take effect until approved.</t>
  </si>
  <si>
    <t>Business Rule: Trap Size (gallons) field = read-only after initial account save. Change Request (LES-031) required to modify. Power Automate: Trap Size change request → notify Operations Manager → approve/reject. If approved: update CRM + trigger D365 F&amp;O change. Track history: old value, new value, date, approver, reason.</t>
  </si>
  <si>
    <t>LES-035</t>
  </si>
  <si>
    <t>As a system integrator, I need CE (D365 Sales) to be the system of record for all operational account information — with a controlled, approval-gated integration pushing account setup and pricing data to D365 F&amp;O — so that account maintenance teams work in a single system and Finance retains a quality-control gate before financial data is committed to the ERP.</t>
  </si>
  <si>
    <t>Currently: sales and ops data entered in CRM Opportunity → manually re-keyed into GP Windsoft (~100 screens per account) → syncs back to CRM every 2 hours. Future design: CE is source of truth for all operational data (time windows, equipment, frequencies, special instructions, task codes). Finance team (account maintenance) acts as quality control gate. Pricing/transactional data lives in F&amp;O as system of record for billing.</t>
  </si>
  <si>
    <t>CE → D365 F&amp;O integration: when Opportunity moves to Committed Ready, trigger integration to create/update Account in F&amp;O with all operational fields. Finance approval step in CRM before F&amp;O push. F&amp;O writes back: account number, pricing confirmation, contract status to CRM. Dual-write or middleware (Dataverse → F&amp;O via Power Platform).</t>
  </si>
  <si>
    <t>This is a core architectural decision. GP Windsoft decommission timeline TBD — Phase 1 maintains GP Windsoft in parallel.</t>
  </si>
  <si>
    <t>LES-036</t>
  </si>
  <si>
    <t>Bryan Jaska / MaryBeth Reinauer / Marc Cook</t>
  </si>
  <si>
    <t>Waste Profile &amp; Sample Management</t>
  </si>
  <si>
    <t>As a sales rep (OWS/Industrial), I need a Waste Profile workflow in CRM that tracks: sample collection, lab analysis status, treatment classification (A/B1/B2/B3/CA/CB/CC/R), profile number assignment, and disposal site approval status — with real-time visibility for reps, operations, and procurement — so that the status of waste approval is never a black box.</t>
  </si>
  <si>
    <t>Current state: entirely manual — rep calls branch manager → sample sent to lab → 24-48hr analysis in FileMaker → profile number issued → no CRM visibility. Profile failure can delay or kill an opportunity for months (e.g., Dunn Auto: 1-year delay due to EPA involvement). Marc Cook confirmed 24-48hr lab turnaround. MaryBeth flagged that the inbound disposal approval process mirrors this outbound process — both should use the same workflow. DOT number of third-party haulers should be capturable on the Lead/Account (Pete's request).</t>
  </si>
  <si>
    <t>Custom entity: Waste Profile linked to Opportunity and Account. Fields: Waste Stream, Sample Collection Date, Lab Reference #, Treatment Classification, Profile Number, Disposal Site (lookup), Site Approval Status (Pending/Approved/Rejected), Rejection Reason, Profile Expiry. Power Automate: status change → notify rep + ops + procurement. Profile failure → Opportunity Operational Hold flag. DOT Number field on Account/Lead (visible for Industrial/Processing type only).</t>
  </si>
  <si>
    <t>Applies to OWS, Grit, Industrial/Processing, UCO. Does NOT apply to Grease Trap commercial services.</t>
  </si>
  <si>
    <t>Bryan Jaska / MaryBeth Reinauer / Marc Cook / Pete</t>
  </si>
  <si>
    <t>LES-037</t>
  </si>
  <si>
    <t>UCO — Commodity &amp; Rebate Management</t>
  </si>
  <si>
    <t>As a pricing manager, I need UCO (Used Cooking Oil) opportunity and contract setup in CRM to capture: commodity region, UCO yield % assumption, rebate tier, collection fee per gallon (if charged), and the weekly index update date — so that rebate calculations in D365 F&amp;O are driven by accurate contract attributes captured at deal time.</t>
  </si>
  <si>
    <t>UCO rebate = commodity value per pound (from Fast Markets Jacobson index, updated weekly) × yield % × gallons collected × conversion factor (7.4 lbs/gallon). Commodity region assigned per customer location. Yield % is set at contract level — typically static after negotiation. 90% of UCO volume is Walmart (fixed contract). Rebate calculated per service (not accumulated). Insufficient volume fee (RAUCF task code) applies if collected volume is below threshold. Some acquisition customers have UCO-linked grease service discounts (negative task code item).</t>
  </si>
  <si>
    <t>UCO-specific fields on Opportunity and Customer Contract: Commodity Region (lookup to Fast Markets Jacobson region table), UCO Yield % (decimal), Rebate Tier (option set), Collection Fee Per Gallon (currency), UCO-Grease Discount (boolean + negative amount). Weekly commodity index table in D365: Region → Current Index Value → Credit Per Gallon (calculated). Service order billing picks historical index value based on service completion date.</t>
  </si>
  <si>
    <t>Weekly index update process should eventually be automated via Fast Markets Jacobson API (Phase 2).</t>
  </si>
  <si>
    <t>LES-038</t>
  </si>
  <si>
    <t>As a pricing manager, I need preferred partner (subcontractor) pricing captured in the opportunity and account — including the vendor cost basis by zip code and trap size — so that when LES uses a preferred partner to service a location, the pricing model correctly uses vendor cost plus margin rather than LES internal cost.</t>
  </si>
  <si>
    <t>Thomas Crutcher uses a separate tab in his pricing model for preferred partner pricing. Preferred partner cost is based on their invoice rates by zip code and trap size — not LES's operational cost structure. When a zip code has insufficient certainty in the model, a 'go get a quote' flag is raised. Currently no AP matching of vendor invoices vs. contracted rates exists.</t>
  </si>
  <si>
    <t>Preferred Partner flag on Account Location (boolean). Preferred Partner lookup to Vendor record. Vendor Rate Table entity: Vendor + Zip Code + Trap Size Range → Standard Cost. Opportunity: if Preferred Partner = True → price model references Vendor Rate Table instead of LES cost table. PO issuance workflow for preferred partners. Future: AP invoice matching (Phase 2).</t>
  </si>
  <si>
    <t>AP invoice matching is Phase 2. Phase 1: capture vendor assignment and rate reference on opportunity/account.</t>
  </si>
  <si>
    <t>Training Room - Irving / Thomas Crutcher / Pete</t>
  </si>
  <si>
    <t>LES-039</t>
  </si>
  <si>
    <t>Lena (Government Team)</t>
  </si>
  <si>
    <t>Government Account — Bid Management</t>
  </si>
  <si>
    <t>As a government account rep, I need government-specific fields on the Opportunity to support the bid lifecycle: Bid Portal Source, Bid Submission Date, Board Meeting/Award Date, Tax Exempt flag (auto-checked for government), No Ancillary Fees flag (auto-zero coordinated/emergency fees), Award Status, and PO issuance date — without requiring the rep to keep opportunities in their own name just to receive follow-up notifications.</t>
  </si>
  <si>
    <t>Lena described: (1) receives bid notifications via email from government portals; (2) reviews and submits bid pricing (fixed, no negotiation); (3) waits for board vote (months after submission); (4) receives award notification; (5) converts to committed. Current workaround: keeps opportunities in her own name even after awarding to 'Government IAS' because changing ownership loses email notifications. Government accounts: no E&amp;E fees, no coordinated service fee, tax exempt, no margin field needed.</t>
  </si>
  <si>
    <t>Business Rule: when Account Classification = Government → auto-check Tax Exempt, auto-zero E&amp;E fees, hide Margin % field, hide ancillary fee fields. Add fields: Bid Portal Source (text/option set), Bid Submission Date, Board Meeting Date, Award Notification Date, Award Status (option set: Pending/Awarded/Not Awarded). Power Automate: create Task with due date = Board Meeting Date → assign to record owner regardless of account ownership. Government-specific BPF branch.</t>
  </si>
  <si>
    <t>LES-040</t>
  </si>
  <si>
    <t>Training Room - Irving / Marc Cook / Bryan Jaska</t>
  </si>
  <si>
    <t>Proposal Generation</t>
  </si>
  <si>
    <t>As a sales rep, I need CRM-integrated Word proposal templates that auto-populate dynamic fields (customer name, address, waste stream, pricing, treatment classification, line items with rates, date) from the Opportunity record — with a library of templates by waste stream and account type — so that proposal generation is faster, consistent, and proposals are stored directly in SharePoint linked to the Opportunity.</t>
  </si>
  <si>
    <t>Currently: Marc Cook maintains Houston templates for B1/B2/B3 pricing tiers, solids charges, disposal surcharges — all manually filled. Bryan Jaska has OWS/Grid templates varying by region. Regional teams have standard service proposal templates. Thomas Crutcher has national account proposals with multi-location pricing schedules. All templates reside on individual hard drives. Marc Cook confirmed ~3-4 distinct template variants for Houston alone.</t>
  </si>
  <si>
    <t>D365 Word Template library. Create templates: (1) Standard Grease Trap, (2) OWS/Grid, (3) Industrial B1/B2/B3 Oily Water, (4) Industrial Grit/Solids, (5) UCO Rebate, (6) National Account Multi-Location Schedule. Dynamic fields mapped from Opportunity + line item sub-grid. Templates accessible from Opportunity ribbon. Generated documents auto-save to SharePoint Opportunity folder (LES-041).</t>
  </si>
  <si>
    <t>Marc Cook, Bryan Jaska, and Thomas Crutcher to provide existing templates with dynamic fields highlighted as action items.</t>
  </si>
  <si>
    <t>Marc Cook / Bryan Jaska / Training Room - Irving / Thomas Crutcher</t>
  </si>
  <si>
    <t>LES-041</t>
  </si>
  <si>
    <t>Training Room - Irving / Marc Cook</t>
  </si>
  <si>
    <t>Data</t>
  </si>
  <si>
    <t>Document Management</t>
  </si>
  <si>
    <t>As a CRM user, I need SharePoint integrated with D365 CE so that documents (proposals, MSAs, lab reports, waste profiles, tax exemption certs, regulatory manifests, price increase files) are automatically stored in SharePoint folders created per Account and Opportunity — directly accessible from the CRM record — replacing siloed local drive and email storage.</t>
  </si>
  <si>
    <t>Marc Cook manually consolidates all profile setup documents into a single PDF bundle stored on his hard drive. MaryBeth's MSAs are on a C drive with limited access. Lab reports live in FileMaker. CRM database is being strained by direct file attachments. Marc Cook confirmed he loses proposal/setup document traceability once an opportunity becomes a live account. SharePoint integration resolves both storage and traceability issues. Legacy document migration plan to be developed at April 13 session.</t>
  </si>
  <si>
    <t>D365 SharePoint integration (standard connector). Enable document libraries on: Account, Opportunity, Customer Contract, Waste Profile. Power Automate: create Account folder and Opportunity sub-folder on record creation. Migrate legacy CRM-attached documents to SharePoint (migration plan — April 13 session). Security: role-based SharePoint permissions mirroring CRM security roles.</t>
  </si>
  <si>
    <t>Legacy document migration from CRM database is a key data migration topic for April 13 session.</t>
  </si>
  <si>
    <t>LES-042</t>
  </si>
  <si>
    <t>Exceptions</t>
  </si>
  <si>
    <t>As a customer service manager, I need Cases in D365 Customer Service linked to the correct Contact and Account — with intake from multiple channels (inbound phone, email, customer portal, internal request) and auto-routing by case type and account classification — so that every customer issue is assigned to the correct queue without manual triage.</t>
  </si>
  <si>
    <t>Sekela Fobbs confirmed Cases are used today for: service requests (new case → creates service call), emergency service requests, change requests, billing disputes. Cases come from: customer calls to CS team, Omni Tracks field technician reports, and direct CRM entry. The Contact and Account linkage on the Case must be accurate for the case timeline to show relevant history and for routing rules to apply correctly.</t>
  </si>
  <si>
    <t>D365 Customer Service: Case entity. Auto-routing rules by case type + account classification. Contact lookup on Case: auto-populate from inbound email address or phone number match. Account classification drives queue assignment (e.g., national account cases → senior CS queue). Power Pages portal: customer can submit cases linked to their Contact record.</t>
  </si>
  <si>
    <t>Dedicated Case Management session planned. This BRD item captures high-level requirements from discovery discussion.</t>
  </si>
  <si>
    <t>Ammon Woods / Training Room - Irving / Sekela Fobbs</t>
  </si>
  <si>
    <t>LES-043</t>
  </si>
  <si>
    <t>As a customer service manager, I need SLA timers, automated escalations, and a complete Activity timeline on each Case — showing all customer communications, internal notes, field technician updates, and resolution steps — so that case handling is consistent, measurable, and fully auditable.</t>
  </si>
  <si>
    <t>Ammon Woods specifically mentioned SLA tracking and escalation automation as key requirements. Case types need different SLA targets: emergency service request = 2-hour response; standard service request = 24 hours; billing dispute = 48 hours. Two-way communication via Power Pages portal: customer can post comments, CS can reply — all visible in Case timeline. Integration with field service: case → service order creation trigger in D365.</t>
  </si>
  <si>
    <t>D365 Customer Service SLA: configure per case type. Power Automate escalation: SLA breach → notify supervisor + senior CS. Case timeline: unified view of all Activity types (emails, calls, notes, portal comments, field updates). Power Pages portal: customer comment → appended to Case timeline. Field service integration: 'Create Service Order' action on Case.</t>
  </si>
  <si>
    <t>Related to LES-042 (Case Contact/routing). Both items are part of the same Case Management workstream.</t>
  </si>
  <si>
    <t>LES-044</t>
  </si>
  <si>
    <t>BI</t>
  </si>
  <si>
    <t>Dashboards</t>
  </si>
  <si>
    <t>As a sales manager, I need a Sales Pipeline Dashboard in CRM showing: total pipeline value by stage, win rate by rep/team, average days to close by stage, opportunities by account type and waste stream, and close rate trends — filterable by date range, rep, team, waste stream, and geography — to support Goldman Sachs monthly pipeline review requirements.</t>
  </si>
  <si>
    <t>Config &amp; dashboard</t>
  </si>
  <si>
    <t>Goldman Sachs requires monthly accurate pipeline reporting from CRM. Current pipeline reporting is unreliable due to data quality issues. Power BI integration via Dataverse connector for advanced cross-entity analytics beyond native CRM charts. Dependency: data quality enforcement (LES-009) must be in place first.</t>
  </si>
  <si>
    <t>D365 native charts + system dashboard for core pipeline view. Power BI Dataverse connector for advanced reporting. KPIs: Pipeline Value by Stage | Win Rate | Avg Days to Close | Opportunities Added/Closed per Month | Closed Lost reasons breakdown.</t>
  </si>
  <si>
    <t>Dependency: LES-009 data quality enforcement must precede reliable reporting.</t>
  </si>
  <si>
    <t>LES-045</t>
  </si>
  <si>
    <t>Reports</t>
  </si>
  <si>
    <t>As a sales manager, I need an automated weekly KPI Activity Report generated from CRM data every Monday showing each rep's: dials made, meetings held, proposals sent, opportunities advanced, and closes — measured against quota — distributed automatically to reps and their managers, replacing the current manually compiled email report.</t>
  </si>
  <si>
    <t>Current KPI report is manually compiled and emailed on Monday mornings. It should be auto-generated directly from D365 activity data. Reps can see their own live dashboard at any time; managers see their full team view. Goal entity in D365 tracks quota vs. actuals per rep per period.</t>
  </si>
  <si>
    <t>Scheduled Power Automate flow (Monday 6 AM): query CRM activity records per user for prior week → compare against goal targets → generate report → email to rep + manager. D365 Goals entity for quota management. System dashboard: manager view of all reps vs. quota with drill-through to individual activity records.</t>
  </si>
  <si>
    <t>LES-046</t>
  </si>
  <si>
    <t>Data Quality</t>
  </si>
  <si>
    <t>As a CRM administrator, I need duplicate detection rules configured for Account, Contact, and Lead — matching on email (exact), mobile (exact), and company name + zip code (fuzzy ≥80%) — plus address standardisation with zip code auto-populating city and state — so that bad initial data that caused downstream billing and service failures is prevented at the source.</t>
  </si>
  <si>
    <t>Bad initial data entry has caused service and billing failures. One rep has an account still incorrectly assigned because a customer number was mis-typed 7 years ago and never corrected. Address field allows free text with no standardisation. Zip code should auto-populate city and state. Duplicate detection rules exist but are not robustly configured. Weekly bulk duplicate detection job should run.</t>
  </si>
  <si>
    <t>D365 Duplicate Detection Rules: Contact/Lead by Email (exact) + Mobile (exact); Account by Name + Zip Code (fuzzy ≥80%). Zip code lookup → auto-populate City and State. Business Rule: restrict special characters in name/address fields. Weekly scheduled bulk duplicate detection job → results surfaced in admin dashboard.</t>
  </si>
  <si>
    <t>Address standardisation training material to be produced alongside system configuration.</t>
  </si>
  <si>
    <t>Training Room - Irving / Amy</t>
  </si>
  <si>
    <t>LES-047</t>
  </si>
  <si>
    <t>System</t>
  </si>
  <si>
    <t>As a D365 system architect, I need the GP Windsoft-to-CRM data sync (currently every 2 hours intraday + overnight) replicated and improved in the D365 F&amp;O-to-CE integration — ensuring that account setup, pricing, frequency, and contract data created in F&amp;O is visible in CE within 2 hours — so that sales coordinators and account managers always see current operational data without switching systems.</t>
  </si>
  <si>
    <t>Current GP Windsoft sync runs: every 2 hours during business hours and overnight full sync. Sync direction: GP Windsoft → CRM (GP is source of truth for billing/pricing). Future: CE → F&amp;O (CE is source for operational data, F&amp;O is source for billing/pricing). The sync was confirmed working within the session — the demo account set up in GP Windsoft appeared in CRM within 2 hours.</t>
  </si>
  <si>
    <t>D365 F&amp;O ↔ CE Dual-Write or middleware integration. Replicate current sync schedules: 2-hourly operational sync + nightly full reconciliation. Sync scope: Account, Customer Contract, Equipment/Asset, Task Codes, Pricing. Error handling: sync failures → alert to IT + CRM admin.</t>
  </si>
  <si>
    <t>This integration design is the critical path for the F&amp;O implementation workstream.</t>
  </si>
  <si>
    <t>LES-048</t>
  </si>
  <si>
    <t>As a sales rep (Industrial/Processing), I need e-signature capability (DocuSign or Adobe Sign or native D365 signature) integrated with proposal and contract documents in CRM — so that MSAs can be sent for signature, tracked, and stored directly from within the Opportunity without external email chains.</t>
  </si>
  <si>
    <t>Regional and Inside Sales teams use DocuSign or Adobe Sign today for standard service agreements. National account team (Desiree) handles contract execution via email back-and-forth — legal team reviews, then DocuSign for final execution. Marc Cook uses Word documents for industrial proposals. E-signature workflow: generate proposal from Word template (LES-040) → send for internal review → send to customer for signature → signed document auto-attached to Opportunity SharePoint folder (LES-041).</t>
  </si>
  <si>
    <t>DocuSign or Adobe Sign connector for D365. Trigger from Opportunity: 'Send for Signature' button → selects template → generates envelope → tracks signature status in Opportunity. Signed document auto-attached to SharePoint. Status notifications: sent/viewed/signed/declined → update Opportunity timeline.</t>
  </si>
  <si>
    <t>Confirm which e-signature platform LES is standardising on (DocuSign vs Adobe Sign).</t>
  </si>
  <si>
    <t>Training Room - Irving / Marc Cook / Desiree</t>
  </si>
  <si>
    <t>Category</t>
  </si>
  <si>
    <t>Sub-Category</t>
  </si>
  <si>
    <t>Requirement Description</t>
  </si>
  <si>
    <t>Prerequisites</t>
  </si>
  <si>
    <t>Database design</t>
  </si>
  <si>
    <t>Elegant database design for tracking leads, market research, GP opportunities and deal distribution</t>
  </si>
  <si>
    <t>Reliable and up-to-date data. Able to consistently represent key data attributes as correct and valid</t>
  </si>
  <si>
    <t>Complete record sets representing real world happenings and entities. No missed representation in the system</t>
  </si>
  <si>
    <t>Data Access</t>
  </si>
  <si>
    <t>Information about the marketplace is contained and made available to the right audience, without over-exposing information across resources</t>
  </si>
  <si>
    <t>UX</t>
  </si>
  <si>
    <t>System is easy to train, use, find data, and manage information</t>
  </si>
  <si>
    <t>Security</t>
  </si>
  <si>
    <t>System preserves data safety and prevents unauthorized access; easily manages which users can access functional aspects and data subsets</t>
  </si>
  <si>
    <t>Access</t>
  </si>
  <si>
    <t>Can access the system directly without desktop or other server dependencies; can access from Outlook and mobile and portal.</t>
  </si>
  <si>
    <t>Mobile access supports HTML 5 and is device independent</t>
  </si>
  <si>
    <t>Users can store documents on any chosen record type/entity, and integrate with enterprise document management system</t>
  </si>
  <si>
    <t>Presales</t>
  </si>
  <si>
    <t>Original Lead inputs are confirmed, and Lead is updated with authorized business qualification process</t>
  </si>
  <si>
    <t>Seamless Lead Conversion</t>
  </si>
  <si>
    <t>Disqualified leads are closed in a timely manner and converted without re-entry or loss of baseline information</t>
  </si>
  <si>
    <t>Lead Conversion</t>
  </si>
  <si>
    <t>Leads convert to next-best action, allowing both opportunity or QTO processes</t>
  </si>
  <si>
    <t>Leads allow capture of current and scheduled activities</t>
  </si>
  <si>
    <t>Sales</t>
  </si>
  <si>
    <t>Sales Opportunities are captured and managed in appropriate manner for the magnitude of each deal</t>
  </si>
  <si>
    <t>Opportunities allow appropriate, timely tracking of wins and losses with good comprehension of why the business was won or lost</t>
  </si>
  <si>
    <t>Quote</t>
  </si>
  <si>
    <t>Acceptance processes</t>
  </si>
  <si>
    <t>Quotes can be published in various ways based on scale and formality needed</t>
  </si>
  <si>
    <t>Approval Disposition</t>
  </si>
  <si>
    <t>Quotes can be internally approved easily with one or a few clicks</t>
  </si>
  <si>
    <t>Managers can see and control which seller is assigned to which account</t>
  </si>
  <si>
    <t>Sales managers can detect threats to existing business account relationships</t>
  </si>
  <si>
    <t>Marketing</t>
  </si>
  <si>
    <t>Campaigns</t>
  </si>
  <si>
    <t>Response</t>
  </si>
  <si>
    <t>Email delivery and interaction statistics are measured</t>
  </si>
  <si>
    <t>Digital interaction is tracked to the originating email message and prospect/customer</t>
  </si>
  <si>
    <t>Lists</t>
  </si>
  <si>
    <t>Lists of targeted audiences can be managed and grouped without duplicates when used in campaigns</t>
  </si>
  <si>
    <t>Messaging</t>
  </si>
  <si>
    <t>Distribution</t>
  </si>
  <si>
    <t>Email and SMS distribution occurs without being considered spam; able to use white-listed servers</t>
  </si>
  <si>
    <t>Templates</t>
  </si>
  <si>
    <t>Email messages can be created using templated and creative content and HTML with graphics from a digital library</t>
  </si>
  <si>
    <t>Customer Management</t>
  </si>
  <si>
    <t>Accounts, Contacts</t>
  </si>
  <si>
    <t>Duplicates</t>
  </si>
  <si>
    <t>The business actively manages and normalizes or prevents duplicate records</t>
  </si>
  <si>
    <t>Business transactions and interactions are naturally tracked to the customer or prospect</t>
  </si>
  <si>
    <t>Demographics and firmographics are managed and maintained so the marketplace can be segmented</t>
  </si>
  <si>
    <t>Activity Management</t>
  </si>
  <si>
    <t>Contacts, Activities</t>
  </si>
  <si>
    <t>All key interactions with targets can be tracked in near real time</t>
  </si>
  <si>
    <t>Tardy scheduled activities can alert the resource to catch up</t>
  </si>
  <si>
    <t>Showroom</t>
  </si>
  <si>
    <t>Showroom Visit Capture</t>
  </si>
  <si>
    <t>QR/manual check-in creates Showroom Visit record in CRM with Contact lookup, timestamp, visit purpose and assigned sales associate.</t>
  </si>
  <si>
    <t>Post-Visit Automation</t>
  </si>
  <si>
    <t>Automatic thank-you email, VIP alerts to Sales, and follow-up Task if no action within 48 hours of visit.</t>
  </si>
  <si>
    <t>Showroom Analytics</t>
  </si>
  <si>
    <t>Dashboard: total visits/month, visitor segments, repeat vs new, high-value visitors, visit-to-opportunity conversion.</t>
  </si>
  <si>
    <t>Events</t>
  </si>
  <si>
    <t>Registration Automation</t>
  </si>
  <si>
    <t>Event registration triggers automated calendar invite to registrant via Customer Insights - Journeys.</t>
  </si>
  <si>
    <t>VIP Workflows</t>
  </si>
  <si>
    <t>VIP-flagged contacts on event registrations receive priority comms, dedicated invites, and post-event personalised follow-up.</t>
  </si>
  <si>
    <t>Multi-Event History</t>
  </si>
  <si>
    <t>Each contact has a related events sub-grid and a rollup field showing total events attended.</t>
  </si>
  <si>
    <t>Post-Event Journey</t>
  </si>
  <si>
    <t>Automated post-event journey: Thank You &gt; Survey &gt; Replay &gt; Re-engagement CTA (if no response at Day 7).</t>
  </si>
  <si>
    <t>Marketing Automation</t>
  </si>
  <si>
    <t>Engagement Scoring</t>
  </si>
  <si>
    <t>Engagement Score auto-calculated on Contact from email, showroom, event, and sales interactions. Score decays after 90 days.</t>
  </si>
  <si>
    <t>Lifecycle Journeys</t>
  </si>
  <si>
    <t>Six automated journeys to be built: New Lead Welcome, Lead Nurture, Dormant Reactivation, VIP Track, Post-Purchase, Lost Lead Recovery.</t>
  </si>
  <si>
    <t>Dynamic Personalisation</t>
  </si>
  <si>
    <t>Email personalisation by product interest, geography, journey stage, and engagement tier.</t>
  </si>
  <si>
    <t>Sales Alignment</t>
  </si>
  <si>
    <t>Automated Lead Assignment</t>
  </si>
  <si>
    <t>Leads assigned automatically based on Country, Account Type, and Product Interest. Fallback: round-robin.</t>
  </si>
  <si>
    <t>SLA Alerting</t>
  </si>
  <si>
    <t>Alerts when Lead has no activity for 48hrs or Opportunity for 72hrs. Notification to owner and manager.</t>
  </si>
  <si>
    <t>Opportunity Journeys</t>
  </si>
  <si>
    <t>Marketing journeys triggered on Opportunity stage change to deliver stage-appropriate content to contact.</t>
  </si>
  <si>
    <t>Funnel Dashboard</t>
  </si>
  <si>
    <t>Dashboard: Lead &gt; MQL &gt; SQL &gt; Opportunity &gt; Win rates, filterable by source, date, and rep.</t>
  </si>
  <si>
    <t>Campaign ROI</t>
  </si>
  <si>
    <t>Campaign ROI report: leads per source, opps per campaign, revenue influenced, cost per lead.</t>
  </si>
  <si>
    <t>Data Hygiene</t>
  </si>
  <si>
    <t>Duplicate Detection</t>
  </si>
  <si>
    <t>Duplicate detection rules on Contact, Lead, Account by email, mobile, and name+company.</t>
  </si>
  <si>
    <t>Mandatory Fields</t>
  </si>
  <si>
    <t>Mandatory field validation on Contact, Lead, and Opportunity entities enforced via Business Rules.</t>
  </si>
  <si>
    <t>Suppression &amp; Bounce</t>
  </si>
  <si>
    <t>Suppression lists and bounce management configured in Customer Insights - Journeys with auto-flag update on Contact.</t>
  </si>
  <si>
    <t>Showroom QR Integration</t>
  </si>
  <si>
    <t>QR scan at showroom creates Syn_ShowroomVisit record in CRM via Power Automate HTTP trigger.</t>
  </si>
  <si>
    <t>WhatsApp/SMS Logging</t>
  </si>
  <si>
    <t>WhatsApp and SMS interactions logged as custom Activity records on Contact. Platform TBD.</t>
  </si>
  <si>
    <t>Event Platform Sync</t>
  </si>
  <si>
    <t>Event registrations and attendance synced from external platform or via native D365 Events module.</t>
  </si>
  <si>
    <t>Power BI Connection</t>
  </si>
  <si>
    <t>Power BI connected to Dataverse for advanced analytics. MSP configures connection; report design separate.</t>
  </si>
  <si>
    <t>Trade Show Lead Devices</t>
  </si>
  <si>
    <t>Lead capture device data from trade shows pushed to CRM as Leads with source and campaign attribution.</t>
  </si>
  <si>
    <t>Excel-based pricing model migration (Grease/OWS/UCO/Industrial) — Thomas Crutcher's pricing model remains external in Phase 1. CRM workflow replaces the email channel only; model logic is not migrated.</t>
  </si>
  <si>
    <t>GP Windsoft to D365 F&amp;O full ERP migration — separate workstream. Phase 1 maintains GP Windsoft as billing system of record with manual parity.</t>
  </si>
  <si>
    <t>Automated task code sync between CRM and GP Windsoft — Phase 1 requires manual entry in both systems. Automated integration deferred to F&amp;O migration phase.</t>
  </si>
  <si>
    <t>UCO commodity index API automation (Fast Markets Jacobson) — weekly index update remains manual copy-paste in Phase 1. API automation is Phase 2.</t>
  </si>
  <si>
    <t>AP invoice matching for preferred partner invoices — Phase 2. Phase 1 captures vendor assignment and rate reference only.</t>
  </si>
  <si>
    <t>Commission and compensation management — rep commission calculation and tracking not in CRM Phase 1 scope.</t>
  </si>
  <si>
    <t>Retention pricing calculator — specialised pricing tool for at-risk customer retention deferred to Phase 2.</t>
  </si>
  <si>
    <t>Adjacent services (drain lining, vent hood cleaning, plumbing) — new service lines from acquisitions require separate scoping session.</t>
  </si>
  <si>
    <t>Brown grease / yellow grease inventory tracking — commodity inventory management not in Phase 1 scope.</t>
  </si>
  <si>
    <t>Industrial waste permit compliance reporting — regulatory compliance for industrial waste streams deferred to Phase 2.</t>
  </si>
  <si>
    <t>UCO/Commodity buyer onboarding pipeline — separate pipeline for commodity sales (not commercial services) deferred to Phase 2.</t>
  </si>
  <si>
    <t>Treatment and Recovery (T&amp;R) plant inbound waste processing workflow — separate discovery sessions scheduled. Not in Phase 1 scope.</t>
  </si>
  <si>
    <t>Power BI report and dashboard design — MSP configures Dataverse connection only; custom report design is client responsibility or separate engagement.</t>
  </si>
  <si>
    <t>Training content creation — training delivery and materials are separate from system configuration scope.</t>
  </si>
  <si>
    <t>Espalier.ai AI lead generation integration — under technical evaluation. Integration scope TBD pending Thursday assessment.</t>
  </si>
  <si>
    <t>Accrual process for PO-driven accounts — complex billing accrual logic (pre-service vs. post-service PO workflows) is a Field Service / Finance workstream separate from sales CRM.</t>
  </si>
  <si>
    <t>Two-path lead intake, Lead Source attribution, qualification BPF with full data carry-through on conversion (LES-001 to LES-003)</t>
  </si>
  <si>
    <t>Lead Assignment &amp; Routing</t>
  </si>
  <si>
    <t>Automated lead routing by account type, location count, waste stream, territory. Teams notification on assignment (LES-004)</t>
  </si>
  <si>
    <t>Lead Activity &amp; Batch Import</t>
  </si>
  <si>
    <t>Activity logging, Outlook/Teams sync, batch CSV import with duplicate detection and campaign tagging (LES-005 to LES-006)</t>
  </si>
  <si>
    <t>Zoom Info embedded lookup within CRM. Phase 1: manual lookup. Phase 2: automated enrichment (LES-007)</t>
  </si>
  <si>
    <t>Opportunity Pipeline — BPF</t>
  </si>
  <si>
    <t>9-stage BPF: Target → Qualified → Craft Solution → Pitch/Present → Shortlist → Negotiate → Committed Pending → Committed Ready → Closed Won/Lost. Stage timing metrics (LES-008)</t>
  </si>
  <si>
    <t>Opportunity Form &amp; Win/Loss</t>
  </si>
  <si>
    <t>Role-based opportunity forms, conditional Margin % requirement, add-location auto-populate, Close Won/Lost/Partial Win options (LES-009 to LES-011)</t>
  </si>
  <si>
    <t>Pipeline Hygiene &amp; Alerts</t>
  </si>
  <si>
    <t>48/72-hour no-activity alerts, 30-day stage stale alert, past close date flag, Clean Room dashboard (LES-012)</t>
  </si>
  <si>
    <t>Sales Activity Scorecards — Contacts</t>
  </si>
  <si>
    <t>CRM Goals entity for quota tracking, automated Monday scorecard email (LES-013)</t>
  </si>
  <si>
    <t>Sales Activity Scorecards — Activities</t>
  </si>
  <si>
    <t>Activity type mapping to scorecard metrics, Teams calling integration for automatic dial capture (LES-014)</t>
  </si>
  <si>
    <t>Field Sales — Route (Contacts)</t>
  </si>
  <si>
    <t>Maplytics/Badger Maps map view of Accounts/Contacts for route planning from within CRM (LES-015)</t>
  </si>
  <si>
    <t>Field Sales — Route (Activities)</t>
  </si>
  <si>
    <t>One-tap mobile visit check-in creating Activity record, mileage logging on Appointment activity (LES-016)</t>
  </si>
  <si>
    <t>Account Classification — Accounts</t>
  </si>
  <si>
    <t>Controlled Account Classification field (National/Regional/IAS/Government/Industrial), manager-override, approval workflow (LES-017)</t>
  </si>
  <si>
    <t>Account Classification — Contacts</t>
  </si>
  <si>
    <t>Contact inherits Account classification, Contact role field (Decision Maker/Influencer/Champion) for targeting (LES-018)</t>
  </si>
  <si>
    <t>Territory Management</t>
  </si>
  <si>
    <t>Territory-based account/opportunity ownership, mass reassignment on territory owner change (LES-019)</t>
  </si>
  <si>
    <t>Account Plan — Accounts</t>
  </si>
  <si>
    <t>Custom Account Plan entity: revenue targets, whitespace, competitive notes, quarterly objectives (LES-020)</t>
  </si>
  <si>
    <t>Account Plan — Contacts (Stakeholder Map)</t>
  </si>
  <si>
    <t>Key Contacts sub-grid with role on Account Plan: stakeholder mapping for multi-threaded account management (LES-021)</t>
  </si>
  <si>
    <t>Pricing Request Workflow</t>
  </si>
  <si>
    <t>CRM pricing request replacing email. Pricing Team queue. Pricing validity timers 30/60 days. Rate card guardrails (LES-022 to LES-024)</t>
  </si>
  <si>
    <t>Mass Price Increase — Accounts</t>
  </si>
  <si>
    <t>CRM-supported mass price increase campaign: account list, % increase, effective date, IT import file, audit trail (LES-025)</t>
  </si>
  <si>
    <t>Mass Price Increase — Contacts (NTE Comms)</t>
  </si>
  <si>
    <t>Automatic rep notification with new rates and NTE update instructions for PO-driven customers (LES-026)</t>
  </si>
  <si>
    <t>Auto-Escalator — Accounts</t>
  </si>
  <si>
    <t>Auto-escalator exception management for on-hold contracts. Escalation Missed alert record in CRM (LES-027)</t>
  </si>
  <si>
    <t>Price Audit Trail — Contacts</t>
  </si>
  <si>
    <t>Full price change audit trail per account visible to Customer Service in CRM timeline (LES-028)</t>
  </si>
  <si>
    <t>Customer Contract — Accounts</t>
  </si>
  <si>
    <t>Mandatory Customer Contract fields, expiry/anniversary alerts, NTE tracking, MSA document link, E&amp;E fee enforcement (LES-029)</t>
  </si>
  <si>
    <t>Customer Contract — Contacts (Billing Contacts)</t>
  </si>
  <si>
    <t>Contact-level contract roles: billing contact, signatory, operational contact for targeted communications (LES-030)</t>
  </si>
  <si>
    <t>Change Request — Accounts</t>
  </si>
  <si>
    <t>Controlled CRM change request workflow for account modifications: trap size, frequency, pricing, time window (LES-031)</t>
  </si>
  <si>
    <t>Change Request — Contacts (CS Visibility)</t>
  </si>
  <si>
    <t>Customer Service read-only view of Change Requests and ability to initiate a Change Request on behalf of customer (LES-032)</t>
  </si>
  <si>
    <t>Equipment &amp; Task Code Configuration</t>
  </si>
  <si>
    <t>Task list auto-population by waste stream, Trap Size Unknown checkbox, equipment sub-grid, line jetting Business Rule (LES-033 to LES-034)</t>
  </si>
  <si>
    <t>CE → F&amp;O Integration Architecture</t>
  </si>
  <si>
    <t>CE as operational source of truth. Finance quality-control gate. F&amp;O as billing source of truth. Replaces GP Windsoft manual re-keying (LES-035)</t>
  </si>
  <si>
    <t>Waste Profile workflow for OWS/Grit/Industrial/UCO: sample → lab → classification → disposal site approval → profile number (LES-036)</t>
  </si>
  <si>
    <t>UCO Commodity &amp; Rebate Management</t>
  </si>
  <si>
    <t>UCO opportunity/contract fields: commodity region, yield %, rebate tier, weekly index table, UCO-Grease discount (LES-037)</t>
  </si>
  <si>
    <t>Preferred Partner Pricing</t>
  </si>
  <si>
    <t>Vendor assignment on location, vendor rate table by zip/trap size, vendor-based pricing model in opportunity (LES-038)</t>
  </si>
  <si>
    <t>Government Account Management</t>
  </si>
  <si>
    <t>Government-specific BPF branch: bid portal, submission/board dates, tax exempt auto-check, no ancillary fees, award tracking (LES-039)</t>
  </si>
  <si>
    <t>Proposal Templates</t>
  </si>
  <si>
    <t>CRM Word template library by waste stream/account type with dynamic field population. Auto-save to SharePoint (LES-040)</t>
  </si>
  <si>
    <t>SharePoint Document Management</t>
  </si>
  <si>
    <t>SharePoint integration on Account, Opportunity, Customer Contract, Waste Profile. Auto-folder creation. Legacy migration plan (LES-041)</t>
  </si>
  <si>
    <t>Case Management — Contacts (Intake/Routing)</t>
  </si>
  <si>
    <t>D365 Customer Service cases: Contact/Account linkage, multi-channel intake, routing rules by case type + classification (LES-042)</t>
  </si>
  <si>
    <t>Case Management — Activities (SLA/Timeline)</t>
  </si>
  <si>
    <t>SLA timers per case type, escalation automation, unified Activity timeline, Power Pages portal two-way communication (LES-043)</t>
  </si>
  <si>
    <t>Sales Pipeline Dashboard</t>
  </si>
  <si>
    <t>Pipeline dashboard (Goldman Sachs monthly), Clean Room hygiene dashboard, Power BI Dataverse connection (LES-044)</t>
  </si>
  <si>
    <t>Weekly KPI Activity Report</t>
  </si>
  <si>
    <t>Automated Monday KPI scorecard email to reps and managers from CRM activity data (LES-045)</t>
  </si>
  <si>
    <t>Data Quality &amp; Deduplication</t>
  </si>
  <si>
    <t>Duplicate detection rules on Account/Contact/Lead. Zip-to-city auto-population. Address standardisation (LES-046)</t>
  </si>
  <si>
    <t>GP Windsoft → F&amp;O Data Sync</t>
  </si>
  <si>
    <t>Replicate 2-hourly + nightly sync in F&amp;O → CE integration (LES-047)</t>
  </si>
  <si>
    <t>E-Signature Integration</t>
  </si>
  <si>
    <t>DocuSign or Adobe Sign connector for proposal and MSA signature workflow from Opportunity (LES-048)</t>
  </si>
  <si>
    <t>CRM Environments</t>
  </si>
  <si>
    <t>3 environments: Development, UAT, Production — D365 CE (Sales + Customer Service) hosted in Azure. GP Windsoft maintained in parallel during Phase 1.</t>
  </si>
  <si>
    <t>Signature &amp; Acceptance
Signing indicates understanding and acceptance of this document.</t>
  </si>
  <si>
    <t>Version</t>
  </si>
  <si>
    <t>Name and Role</t>
  </si>
  <si>
    <t>Signature</t>
  </si>
  <si>
    <t>1.0 – Draft for Review</t>
  </si>
  <si>
    <t>Client Furniture – Project Sponsor</t>
  </si>
  <si>
    <t>1.0 – MSP Approval</t>
  </si>
  <si>
    <t>MSP – Project Manager</t>
  </si>
  <si>
    <t>1.0 – Client Acceptance</t>
  </si>
  <si>
    <t>Client Furniture – IT Lead</t>
  </si>
  <si>
    <t>Lists of Values</t>
  </si>
  <si>
    <t>Epic</t>
  </si>
  <si>
    <t>Cycle</t>
  </si>
  <si>
    <t>Column1</t>
  </si>
  <si>
    <t>Column2</t>
  </si>
  <si>
    <t>Accounts, Contacts: Duplicates</t>
  </si>
  <si>
    <t>dup</t>
  </si>
  <si>
    <t>Accounts, Contacts: Visibility</t>
  </si>
  <si>
    <t>Interaction</t>
  </si>
  <si>
    <t>Accounts, Contacts: Interaction</t>
  </si>
  <si>
    <t>Accounts, Contacts: Segmentation</t>
  </si>
  <si>
    <t>Segmentation &amp; Consolidation</t>
  </si>
  <si>
    <t>Accounts, Contacts: Segmentation &amp; Consolidation</t>
  </si>
  <si>
    <t>Automation</t>
  </si>
  <si>
    <t>Campaigns: Automation</t>
  </si>
  <si>
    <t>Comprehensive</t>
  </si>
  <si>
    <t>Campaigns: Comprehensive</t>
  </si>
  <si>
    <t>Campaigns: Segmentation</t>
  </si>
  <si>
    <t>Campaigns: Response</t>
  </si>
  <si>
    <t>Unified</t>
  </si>
  <si>
    <t>Contacts, Activities: Unified</t>
  </si>
  <si>
    <t>Contacts, Activities: Cross Channel</t>
  </si>
  <si>
    <t>Contacts, Activities: Exceptions</t>
  </si>
  <si>
    <t>Contacts, Activities: Collaboration &amp; communication</t>
  </si>
  <si>
    <t>BI: Dashboards</t>
  </si>
  <si>
    <t>BI: Reports</t>
  </si>
  <si>
    <t>Data: Data Quality</t>
  </si>
  <si>
    <t>Data: Data Access</t>
  </si>
  <si>
    <t>Database Design</t>
  </si>
  <si>
    <t>Data: Database Design</t>
  </si>
  <si>
    <t>Integration: Data</t>
  </si>
  <si>
    <t>Lead: Lead Attribution</t>
  </si>
  <si>
    <t>Lead: Lead Assignment</t>
  </si>
  <si>
    <t>Lead: Lead Validation</t>
  </si>
  <si>
    <t>Lead: Seamless Lead Conversion</t>
  </si>
  <si>
    <t>Lead: Lead Interaction</t>
  </si>
  <si>
    <t>Management: Risk</t>
  </si>
  <si>
    <t>Management: Account/ Territory Assignments</t>
  </si>
  <si>
    <t>Messaging: Distribution</t>
  </si>
  <si>
    <t>Messaging: Templates</t>
  </si>
  <si>
    <t>Workflow</t>
  </si>
  <si>
    <t>Opportunity: Workflow</t>
  </si>
  <si>
    <t>Opportunity: Opportunity Management</t>
  </si>
  <si>
    <t>Segmentation: Lists</t>
  </si>
  <si>
    <t>System: UX</t>
  </si>
  <si>
    <t>System: Security</t>
  </si>
  <si>
    <t>System: Access</t>
  </si>
  <si>
    <t>System: Document Management</t>
  </si>
  <si>
    <t>Covered by? Selections</t>
  </si>
  <si>
    <t>D365 OOB no config</t>
  </si>
  <si>
    <t>Business procedure</t>
  </si>
  <si>
    <t>Other</t>
  </si>
  <si>
    <t>Have today? Selections</t>
  </si>
  <si>
    <t>Have and want to keep</t>
  </si>
  <si>
    <t>Have and don't want to keep</t>
  </si>
  <si>
    <t>Don't have and don't need/want</t>
  </si>
  <si>
    <t xml:space="preserve">Release </t>
  </si>
  <si>
    <t>Release 1 - CRM Implementation</t>
  </si>
  <si>
    <t>Data _Services_Meeting Summary Notes.docx</t>
  </si>
  <si>
    <t>Discovery Sessions_ Data &amp; Services_Part1.docx</t>
  </si>
  <si>
    <t>Discovery Sessions_ Data &amp; Services_Part2.docx</t>
  </si>
  <si>
    <t>afternoon summary_part1.docx</t>
  </si>
  <si>
    <t>afternoon summary_part2.docx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</si>
</sst>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charset val="1"/>
    </font>
    <font>
      <sz val="11"/>
      <color theme="1"/>
      <name val="Aptos Narrow"/>
      <family val="2"/>
    </font>
    <font>
      <b/>
      <sz val="20"/>
      <color theme="0"/>
      <name val="Aptos Narrow"/>
      <family val="2"/>
    </font>
    <font>
      <sz val="8"/>
      <name val="Calibri"/>
      <family val="2"/>
      <charset val="1"/>
    </font>
    <font>
      <b/>
      <sz val="11"/>
      <color theme="1"/>
      <name val="Aptos Narrow"/>
      <family val="2"/>
    </font>
    <font>
      <sz val="11"/>
      <name val="Aptos Narrow"/>
      <family val="2"/>
    </font>
    <font>
      <sz val="11"/>
      <color theme="0"/>
      <name val="Aptos Narrow"/>
      <family val="2"/>
    </font>
    <font>
      <b/>
      <sz val="14"/>
      <color theme="1"/>
      <name val="Aptos Narrow"/>
      <family val="2"/>
    </font>
    <font>
      <b/>
      <sz val="12"/>
      <color theme="1"/>
      <name val="Aptos Narrow"/>
      <family val="2"/>
    </font>
    <font>
      <sz val="12"/>
      <color theme="1"/>
      <name val="Aptos Narrow"/>
      <family val="2"/>
    </font>
    <font>
      <b/>
      <sz val="12"/>
      <name val="Aptos Narrow"/>
      <family val="2"/>
    </font>
    <font>
      <sz val="14"/>
      <color theme="1"/>
      <name val="Aptos Narrow"/>
      <family val="2"/>
    </font>
    <font>
      <b/>
      <sz val="14"/>
      <color theme="4"/>
      <name val="Aptos Narrow"/>
      <family val="2"/>
    </font>
    <font>
      <b/>
      <sz val="16"/>
      <color theme="4"/>
      <name val="Aptos Narrow"/>
      <family val="2"/>
    </font>
    <font>
      <b/>
      <sz val="16"/>
      <name val="Aptos Narrow"/>
      <family val="2"/>
    </font>
    <font>
      <b/>
      <sz val="16"/>
      <color theme="1"/>
      <name val="Aptos Narrow"/>
      <family val="2"/>
    </font>
    <font>
      <sz val="14"/>
      <color theme="1"/>
      <name val="Calibri"/>
      <family val="2"/>
      <charset val="1"/>
    </font>
    <font>
      <b/>
      <sz val="14"/>
      <color theme="1"/>
      <name val="Calibri"/>
      <family val="2"/>
      <charset val="1"/>
    </font>
    <font>
      <b/>
      <i/>
      <sz val="10"/>
      <name val="Aptos Narrow"/>
      <family val="2"/>
    </font>
    <font>
      <u/>
      <sz val="11"/>
      <color theme="10"/>
      <name val="Calibri"/>
      <family val="2"/>
      <charset val="1"/>
    </font>
  </fonts>
  <fills count="15">
    <fill>
      <patternFill patternType="none"/>
    </fill>
    <fill>
      <patternFill patternType="gray125"/>
    </fill>
    <fill>
      <patternFill patternType="solid">
        <fgColor rgb="FFF04D38"/>
        <bgColor indexed="64"/>
      </patternFill>
    </fill>
    <fill>
      <patternFill patternType="solid">
        <fgColor rgb="FFFFFFFF"/>
        <bgColor indexed="64"/>
      </patternFill>
    </fill>
    <fill>
      <patternFill patternType="solid">
        <fgColor rgb="FF3F403F"/>
        <bgColor indexed="64"/>
      </patternFill>
    </fill>
    <fill>
      <patternFill patternType="solid">
        <fgColor theme="0"/>
        <bgColor indexed="64"/>
      </patternFill>
    </fill>
    <fill>
      <patternFill patternType="solid">
        <fgColor rgb="FFE8E4E2"/>
        <bgColor indexed="64"/>
      </patternFill>
    </fill>
    <fill>
      <patternFill patternType="solid">
        <fgColor rgb="FF243641"/>
        <bgColor indexed="64"/>
      </patternFill>
    </fill>
    <fill>
      <patternFill patternType="solid">
        <fgColor rgb="FF002344"/>
        <bgColor indexed="64"/>
      </patternFill>
    </fill>
    <fill>
      <patternFill patternType="solid">
        <fgColor rgb="FF004677"/>
        <bgColor indexed="64"/>
      </patternFill>
    </fill>
    <fill>
      <patternFill patternType="solid">
        <fgColor rgb="FF96BDC6"/>
        <bgColor indexed="64"/>
      </patternFill>
    </fill>
    <fill>
      <patternFill patternType="solid">
        <fgColor rgb="FFC10016"/>
        <bgColor indexed="64"/>
      </patternFill>
    </fill>
    <fill>
      <patternFill patternType="solid">
        <fgColor rgb="FFB7C9D3"/>
        <bgColor indexed="64"/>
      </patternFill>
    </fill>
    <fill>
      <patternFill patternType="solid">
        <fgColor rgb="FF898B89"/>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9" fillId="0" borderId="0" applyNumberFormat="0" applyFill="0" applyBorder="0" applyAlignment="0" applyProtection="0"/>
  </cellStyleXfs>
  <cellXfs count="97">
    <xf numFmtId="0" fontId="0" fillId="0" borderId="0" xfId="0"/>
    <xf numFmtId="0" fontId="1" fillId="0" borderId="0" xfId="0" applyFont="1" applyAlignment="1">
      <alignment wrapText="1"/>
    </xf>
    <xf numFmtId="0" fontId="1" fillId="0" borderId="0" xfId="0" applyFont="1"/>
    <xf numFmtId="0" fontId="1" fillId="0" borderId="1" xfId="0" applyFont="1" applyBorder="1" applyAlignment="1">
      <alignment horizontal="left"/>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left"/>
    </xf>
    <xf numFmtId="0" fontId="6" fillId="4" borderId="1" xfId="0" applyFont="1" applyFill="1" applyBorder="1" applyAlignment="1">
      <alignment horizontal="left"/>
    </xf>
    <xf numFmtId="0" fontId="5" fillId="6" borderId="1" xfId="0" applyFont="1" applyFill="1" applyBorder="1" applyAlignment="1">
      <alignment horizontal="left"/>
    </xf>
    <xf numFmtId="0" fontId="6" fillId="7" borderId="1" xfId="0" applyFont="1" applyFill="1" applyBorder="1" applyAlignment="1">
      <alignment horizontal="left"/>
    </xf>
    <xf numFmtId="0" fontId="6" fillId="2" borderId="1" xfId="0" applyFont="1" applyFill="1" applyBorder="1" applyAlignment="1">
      <alignment horizontal="left"/>
    </xf>
    <xf numFmtId="0" fontId="6" fillId="8" borderId="1" xfId="0" applyFont="1" applyFill="1" applyBorder="1" applyAlignment="1">
      <alignment horizontal="left"/>
    </xf>
    <xf numFmtId="0" fontId="6" fillId="9" borderId="1" xfId="0" applyFont="1" applyFill="1" applyBorder="1" applyAlignment="1">
      <alignment horizontal="left"/>
    </xf>
    <xf numFmtId="0" fontId="6" fillId="10" borderId="1" xfId="0" applyFont="1" applyFill="1" applyBorder="1" applyAlignment="1">
      <alignment horizontal="left"/>
    </xf>
    <xf numFmtId="0" fontId="6" fillId="11" borderId="1" xfId="0" applyFont="1" applyFill="1" applyBorder="1" applyAlignment="1">
      <alignment horizontal="left"/>
    </xf>
    <xf numFmtId="0" fontId="1" fillId="12" borderId="1" xfId="0" applyFont="1" applyFill="1" applyBorder="1" applyAlignment="1">
      <alignment horizontal="left"/>
    </xf>
    <xf numFmtId="0" fontId="6" fillId="13" borderId="1" xfId="0" applyFont="1" applyFill="1" applyBorder="1" applyAlignment="1">
      <alignment horizontal="left"/>
    </xf>
    <xf numFmtId="0" fontId="1" fillId="0" borderId="0" xfId="0" applyFont="1" applyAlignment="1">
      <alignment horizontal="right" vertical="center"/>
    </xf>
    <xf numFmtId="0" fontId="1" fillId="0" borderId="0" xfId="0" applyFont="1" applyAlignment="1">
      <alignment vertical="center"/>
    </xf>
    <xf numFmtId="0" fontId="9" fillId="5" borderId="1" xfId="0" applyFont="1" applyFill="1" applyBorder="1" applyAlignment="1">
      <alignment wrapText="1"/>
    </xf>
    <xf numFmtId="0" fontId="8" fillId="5" borderId="1" xfId="0" applyFont="1" applyFill="1" applyBorder="1" applyAlignment="1">
      <alignment vertical="center"/>
    </xf>
    <xf numFmtId="0" fontId="9" fillId="5" borderId="1" xfId="0" applyFont="1" applyFill="1" applyBorder="1" applyAlignment="1">
      <alignment horizontal="left" wrapText="1"/>
    </xf>
    <xf numFmtId="0" fontId="1" fillId="0" borderId="1" xfId="0" applyFont="1" applyBorder="1" applyAlignment="1">
      <alignment vertical="center"/>
    </xf>
    <xf numFmtId="0" fontId="1" fillId="0" borderId="1" xfId="0" applyFont="1" applyBorder="1" applyAlignment="1">
      <alignment wrapText="1"/>
    </xf>
    <xf numFmtId="0" fontId="10" fillId="5" borderId="1" xfId="0" applyFont="1" applyFill="1" applyBorder="1" applyAlignment="1">
      <alignment horizontal="left" vertical="center"/>
    </xf>
    <xf numFmtId="0" fontId="8" fillId="5" borderId="1" xfId="0" applyFont="1" applyFill="1" applyBorder="1" applyAlignment="1">
      <alignment horizontal="left" vertical="center"/>
    </xf>
    <xf numFmtId="0" fontId="15" fillId="14" borderId="1" xfId="0" applyFont="1" applyFill="1" applyBorder="1" applyAlignment="1">
      <alignment horizontal="center" vertical="center"/>
    </xf>
    <xf numFmtId="0" fontId="14" fillId="6" borderId="8" xfId="0" applyFont="1" applyFill="1" applyBorder="1" applyAlignment="1">
      <alignment horizontal="center" vertical="center" wrapText="1"/>
    </xf>
    <xf numFmtId="0" fontId="0" fillId="0" borderId="0" xfId="0" applyAlignment="1">
      <alignment wrapText="1"/>
    </xf>
    <xf numFmtId="0" fontId="0" fillId="0" borderId="0" xfId="0" applyAlignment="1">
      <alignment horizontal="justify" wrapText="1"/>
    </xf>
    <xf numFmtId="0" fontId="1" fillId="0" borderId="0" xfId="0" applyFont="1" applyAlignment="1">
      <alignment horizontal="justify" vertical="center"/>
    </xf>
    <xf numFmtId="0" fontId="1" fillId="0" borderId="0" xfId="0" applyFont="1" applyAlignment="1">
      <alignment horizontal="justify" vertical="center" wrapText="1"/>
    </xf>
    <xf numFmtId="0" fontId="11" fillId="0" borderId="9" xfId="0" applyFont="1" applyBorder="1" applyAlignment="1">
      <alignment horizontal="justify" vertical="center"/>
    </xf>
    <xf numFmtId="0" fontId="11" fillId="0" borderId="2" xfId="0" applyFont="1" applyBorder="1" applyAlignment="1">
      <alignment horizontal="justify" vertical="center"/>
    </xf>
    <xf numFmtId="0" fontId="11" fillId="0" borderId="2" xfId="0" applyFont="1" applyBorder="1" applyAlignment="1">
      <alignment horizontal="justify" vertical="center" wrapText="1"/>
    </xf>
    <xf numFmtId="0" fontId="11" fillId="0" borderId="10" xfId="0" applyFont="1" applyBorder="1" applyAlignment="1">
      <alignment horizontal="justify" vertical="center"/>
    </xf>
    <xf numFmtId="0" fontId="11" fillId="0" borderId="0" xfId="0" applyFont="1" applyAlignment="1">
      <alignment horizontal="justify" vertical="center"/>
    </xf>
    <xf numFmtId="0" fontId="9" fillId="0" borderId="4" xfId="0" applyFont="1" applyBorder="1" applyAlignment="1">
      <alignment horizontal="justify" vertical="center"/>
    </xf>
    <xf numFmtId="0" fontId="9" fillId="0" borderId="1" xfId="0" applyFont="1" applyBorder="1" applyAlignment="1">
      <alignment horizontal="justify" vertical="center"/>
    </xf>
    <xf numFmtId="0" fontId="9" fillId="0" borderId="1" xfId="0" applyFont="1" applyBorder="1" applyAlignment="1">
      <alignment horizontal="justify" vertical="center" wrapText="1"/>
    </xf>
    <xf numFmtId="0" fontId="9" fillId="0" borderId="3" xfId="0" applyFont="1" applyBorder="1" applyAlignment="1">
      <alignment horizontal="justify" vertical="center"/>
    </xf>
    <xf numFmtId="0" fontId="9" fillId="0" borderId="11" xfId="0" applyFont="1" applyBorder="1" applyAlignment="1">
      <alignment horizontal="justify" vertical="center"/>
    </xf>
    <xf numFmtId="0" fontId="9" fillId="0" borderId="8" xfId="0" applyFont="1" applyBorder="1" applyAlignment="1">
      <alignment horizontal="justify" vertical="center"/>
    </xf>
    <xf numFmtId="0" fontId="9" fillId="0" borderId="8" xfId="0" applyFont="1" applyBorder="1" applyAlignment="1">
      <alignment horizontal="justify" vertical="center" wrapText="1"/>
    </xf>
    <xf numFmtId="0" fontId="9" fillId="0" borderId="12" xfId="0" applyFont="1" applyBorder="1" applyAlignment="1">
      <alignment horizontal="justify" vertical="center"/>
    </xf>
    <xf numFmtId="0" fontId="11" fillId="0" borderId="9" xfId="0" applyFont="1" applyBorder="1"/>
    <xf numFmtId="0" fontId="11" fillId="0" borderId="2" xfId="0" applyFont="1" applyBorder="1"/>
    <xf numFmtId="0" fontId="16" fillId="0" borderId="0" xfId="0" applyFont="1"/>
    <xf numFmtId="0" fontId="9" fillId="0" borderId="4" xfId="0" applyFont="1" applyBorder="1"/>
    <xf numFmtId="0" fontId="9" fillId="0" borderId="1" xfId="0" applyFont="1" applyBorder="1"/>
    <xf numFmtId="0" fontId="9" fillId="0" borderId="3" xfId="0" applyFont="1" applyBorder="1"/>
    <xf numFmtId="0" fontId="9" fillId="0" borderId="11" xfId="0" applyFont="1" applyBorder="1"/>
    <xf numFmtId="0" fontId="9" fillId="0" borderId="8" xfId="0" applyFont="1" applyBorder="1"/>
    <xf numFmtId="0" fontId="9" fillId="0" borderId="12" xfId="0" applyFont="1" applyBorder="1"/>
    <xf numFmtId="0" fontId="11" fillId="0" borderId="10" xfId="0" applyFont="1" applyBorder="1" applyAlignment="1">
      <alignment wrapText="1"/>
    </xf>
    <xf numFmtId="0" fontId="9" fillId="0" borderId="4" xfId="0" applyFont="1" applyBorder="1" applyAlignment="1">
      <alignment vertical="center"/>
    </xf>
    <xf numFmtId="0" fontId="9" fillId="0" borderId="1" xfId="0" applyFont="1" applyBorder="1" applyAlignment="1">
      <alignment vertical="center"/>
    </xf>
    <xf numFmtId="0" fontId="9" fillId="0" borderId="3" xfId="0" applyFont="1" applyBorder="1" applyAlignment="1">
      <alignment vertical="center" wrapText="1"/>
    </xf>
    <xf numFmtId="0" fontId="9" fillId="0" borderId="11" xfId="0" applyFont="1" applyBorder="1" applyAlignment="1">
      <alignment vertical="center"/>
    </xf>
    <xf numFmtId="0" fontId="9" fillId="0" borderId="8" xfId="0" applyFont="1" applyBorder="1" applyAlignment="1">
      <alignment vertical="center"/>
    </xf>
    <xf numFmtId="0" fontId="9" fillId="0" borderId="12" xfId="0" applyFont="1" applyBorder="1" applyAlignment="1">
      <alignment vertical="center" wrapText="1"/>
    </xf>
    <xf numFmtId="0" fontId="7" fillId="0" borderId="9" xfId="0" applyFont="1" applyBorder="1"/>
    <xf numFmtId="0" fontId="7" fillId="0" borderId="2" xfId="0" applyFont="1" applyBorder="1"/>
    <xf numFmtId="0" fontId="7" fillId="0" borderId="10" xfId="0" applyFont="1" applyBorder="1"/>
    <xf numFmtId="0" fontId="17" fillId="0" borderId="0" xfId="0" applyFont="1"/>
    <xf numFmtId="0" fontId="7" fillId="0" borderId="1" xfId="0" applyFont="1" applyBorder="1"/>
    <xf numFmtId="0" fontId="11" fillId="0" borderId="5" xfId="0" applyFont="1" applyBorder="1"/>
    <xf numFmtId="0" fontId="9" fillId="0" borderId="6" xfId="0" applyFont="1" applyBorder="1"/>
    <xf numFmtId="0" fontId="9" fillId="0" borderId="7" xfId="0" applyFont="1" applyBorder="1"/>
    <xf numFmtId="0" fontId="9" fillId="0" borderId="0" xfId="0" applyFont="1"/>
    <xf numFmtId="0" fontId="9" fillId="0" borderId="6" xfId="0" applyFont="1" applyBorder="1" applyAlignment="1">
      <alignment vertical="center" wrapText="1"/>
    </xf>
    <xf numFmtId="0" fontId="9" fillId="0" borderId="7" xfId="0" applyFont="1" applyBorder="1" applyAlignment="1">
      <alignment vertical="center" wrapText="1"/>
    </xf>
    <xf numFmtId="0" fontId="11" fillId="0" borderId="5" xfId="0" applyFont="1" applyBorder="1" applyAlignment="1">
      <alignment vertical="center" wrapText="1"/>
    </xf>
    <xf numFmtId="0" fontId="11" fillId="0" borderId="0" xfId="0" applyFont="1"/>
    <xf numFmtId="0" fontId="11" fillId="0" borderId="9" xfId="0" applyFont="1" applyBorder="1" applyAlignment="1">
      <alignment vertical="center"/>
    </xf>
    <xf numFmtId="0" fontId="11" fillId="0" borderId="2" xfId="0" applyFont="1" applyBorder="1" applyAlignment="1">
      <alignment vertical="center"/>
    </xf>
    <xf numFmtId="0" fontId="11" fillId="0" borderId="10" xfId="0" applyFont="1" applyBorder="1" applyAlignment="1">
      <alignment vertical="center"/>
    </xf>
    <xf numFmtId="0" fontId="9" fillId="0" borderId="3" xfId="0" applyFont="1" applyBorder="1" applyAlignment="1">
      <alignment vertical="center"/>
    </xf>
    <xf numFmtId="0" fontId="9" fillId="0" borderId="12" xfId="0" applyFont="1" applyBorder="1" applyAlignment="1">
      <alignment vertical="center"/>
    </xf>
    <xf numFmtId="0" fontId="19" fillId="0" borderId="0" xfId="1"/>
    <xf numFmtId="0" fontId="4" fillId="0" borderId="2" xfId="0" applyFont="1" applyBorder="1" applyAlignment="1">
      <alignment horizontal="center"/>
    </xf>
    <xf numFmtId="0" fontId="7" fillId="6" borderId="1" xfId="0" applyFont="1" applyFill="1" applyBorder="1" applyAlignment="1">
      <alignment vertical="center"/>
    </xf>
    <xf numFmtId="0" fontId="18" fillId="14" borderId="1" xfId="0" applyFont="1" applyFill="1" applyBorder="1" applyAlignment="1">
      <alignment horizontal="center" vertical="center"/>
    </xf>
    <xf numFmtId="0" fontId="4" fillId="14" borderId="1" xfId="0" applyFont="1" applyFill="1" applyBorder="1" applyAlignment="1">
      <alignment horizontal="center" vertical="center"/>
    </xf>
    <xf numFmtId="0" fontId="5" fillId="6" borderId="1" xfId="0" applyFont="1" applyFill="1" applyBorder="1" applyAlignment="1">
      <alignment horizontal="right" vertical="center" wrapText="1"/>
    </xf>
    <xf numFmtId="0" fontId="1" fillId="6" borderId="1" xfId="0" applyFont="1" applyFill="1" applyBorder="1" applyAlignment="1">
      <alignment horizontal="right" vertical="center" wrapText="1"/>
    </xf>
    <xf numFmtId="0" fontId="13" fillId="5" borderId="1" xfId="0" applyFont="1" applyFill="1" applyBorder="1" applyAlignment="1">
      <alignment horizontal="left" vertical="center"/>
    </xf>
    <xf numFmtId="0" fontId="2" fillId="5" borderId="1" xfId="0" applyFont="1" applyFill="1" applyBorder="1" applyAlignment="1">
      <alignment horizontal="left" vertical="center"/>
    </xf>
    <xf numFmtId="0" fontId="1" fillId="0" borderId="1" xfId="0" applyFont="1" applyBorder="1" applyAlignment="1">
      <alignment horizontal="center" vertical="center"/>
    </xf>
    <xf numFmtId="0" fontId="14" fillId="6" borderId="3"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6" borderId="11" xfId="0" applyFont="1" applyFill="1" applyBorder="1" applyAlignment="1">
      <alignment horizontal="center" vertical="center" wrapText="1"/>
    </xf>
    <xf numFmtId="0" fontId="14" fillId="6" borderId="7" xfId="0" applyFont="1" applyFill="1" applyBorder="1" applyAlignment="1">
      <alignment horizontal="center" vertical="center" wrapText="1"/>
    </xf>
  </cellXfs>
  <cellStyles count="2">
    <cellStyle name="Hyperlink" xfId="1" builtinId="8"/>
    <cellStyle name="Normal" xfId="0" builtinId="0"/>
  </cellStyles>
  <dxfs count="72">
    <dxf>
      <font>
        <strike val="0"/>
        <outline val="0"/>
        <shadow val="0"/>
        <u val="none"/>
        <vertAlign val="baseline"/>
        <sz val="12"/>
        <color theme="1"/>
        <name val="Aptos Narrow"/>
        <family val="2"/>
        <scheme val="none"/>
      </font>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dxf>
    <dxf>
      <border>
        <bottom style="thin">
          <color indexed="64"/>
        </bottom>
      </border>
    </dxf>
    <dxf>
      <font>
        <strike val="0"/>
        <outline val="0"/>
        <shadow val="0"/>
        <u val="none"/>
        <vertAlign val="baseline"/>
        <sz val="14"/>
        <color theme="1"/>
        <name val="Aptos Narrow"/>
        <family val="2"/>
        <scheme val="none"/>
      </font>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border diagonalUp="0" diagonalDown="0" outline="0">
        <left/>
        <right/>
        <top style="thin">
          <color indexed="64"/>
        </top>
        <bottom style="thin">
          <color indexed="64"/>
        </bottom>
      </border>
    </dxf>
    <dxf>
      <font>
        <strike val="0"/>
        <outline val="0"/>
        <shadow val="0"/>
        <u val="none"/>
        <vertAlign val="baseline"/>
        <sz val="12"/>
        <color theme="1"/>
        <name val="Aptos Narrow"/>
        <family val="2"/>
        <scheme val="none"/>
      </font>
    </dxf>
    <dxf>
      <font>
        <b/>
        <strike val="0"/>
        <outline val="0"/>
        <shadow val="0"/>
        <u val="none"/>
        <vertAlign val="baseline"/>
        <sz val="14"/>
        <color theme="1"/>
        <name val="Aptos Narrow"/>
        <family val="2"/>
        <scheme val="none"/>
      </font>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dxf>
    <dxf>
      <border>
        <bottom style="thin">
          <color indexed="64"/>
        </bottom>
      </border>
    </dxf>
    <dxf>
      <font>
        <b/>
        <strike val="0"/>
        <outline val="0"/>
        <shadow val="0"/>
        <u val="none"/>
        <vertAlign val="baseline"/>
        <sz val="14"/>
        <color theme="1"/>
        <name val="Aptos Narrow"/>
        <family val="2"/>
        <scheme val="none"/>
      </font>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wrapText="0" indent="0" justifyLastLine="0" shrinkToFit="0" readingOrder="0"/>
    </dxf>
    <dxf>
      <border outline="0">
        <bottom style="thin">
          <color indexed="64"/>
        </bottom>
      </border>
    </dxf>
    <dxf>
      <font>
        <strike val="0"/>
        <outline val="0"/>
        <shadow val="0"/>
        <u val="none"/>
        <vertAlign val="baseline"/>
        <sz val="14"/>
        <color theme="1"/>
        <name val="Aptos Narrow"/>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dxf>
    <dxf>
      <border>
        <bottom style="thin">
          <color indexed="64"/>
        </bottom>
      </border>
    </dxf>
    <dxf>
      <font>
        <strike val="0"/>
        <outline val="0"/>
        <shadow val="0"/>
        <u val="none"/>
        <vertAlign val="baseline"/>
        <sz val="14"/>
        <color theme="1"/>
        <name val="Aptos Narrow"/>
        <family val="2"/>
        <scheme val="none"/>
      </font>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indent="0" justifyLastLine="0" shrinkToFit="0" readingOrder="0"/>
    </dxf>
    <dxf>
      <border>
        <bottom style="thin">
          <color indexed="64"/>
        </bottom>
      </border>
    </dxf>
    <dxf>
      <font>
        <strike val="0"/>
        <outline val="0"/>
        <shadow val="0"/>
        <u val="none"/>
        <vertAlign val="baseline"/>
        <sz val="14"/>
        <color theme="1"/>
        <name val="Aptos Narrow"/>
        <family val="2"/>
        <scheme val="none"/>
      </font>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justify" vertical="center" textRotation="0" indent="0" justifyLastLine="0" shrinkToFit="0" readingOrder="0"/>
    </dxf>
    <dxf>
      <border>
        <bottom style="thin">
          <color indexed="64"/>
        </bottom>
      </border>
    </dxf>
    <dxf>
      <font>
        <strike val="0"/>
        <outline val="0"/>
        <shadow val="0"/>
        <u val="none"/>
        <vertAlign val="baseline"/>
        <sz val="14"/>
        <color theme="1"/>
        <name val="Aptos Narrow"/>
        <family val="2"/>
        <scheme val="none"/>
      </font>
      <alignment horizontal="justify"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ptos Narrow"/>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none"/>
      </font>
      <alignment horizontal="general" vertical="center" textRotation="0" wrapText="1" indent="0" justifyLastLine="0" shrinkToFit="0" readingOrder="0"/>
    </dxf>
    <dxf>
      <border>
        <bottom style="thin">
          <color indexed="64"/>
        </bottom>
      </border>
    </dxf>
    <dxf>
      <font>
        <strike val="0"/>
        <outline val="0"/>
        <shadow val="0"/>
        <u val="none"/>
        <vertAlign val="baseline"/>
        <sz val="14"/>
        <color theme="1"/>
        <name val="Aptos Narrow"/>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ill>
        <patternFill>
          <fgColor theme="0"/>
        </patternFill>
      </fill>
    </dxf>
    <dxf>
      <fill>
        <patternFill>
          <fgColor theme="0" tint="-4.9989318521683403E-2"/>
          <bgColor theme="0" tint="-4.9989318521683403E-2"/>
        </patternFill>
      </fill>
    </dxf>
    <dxf>
      <fill>
        <patternFill>
          <fgColor theme="4" tint="0.79992065187536243"/>
          <bgColor theme="4" tint="0.79998168889431442"/>
        </patternFill>
      </fill>
    </dxf>
  </dxfs>
  <tableStyles count="1" defaultTableStyle="TableStyleMedium2" defaultPivotStyle="PivotStyleLight16">
    <tableStyle name="LES_BRD_Table_Style" pivot="0" count="3" xr9:uid="{5C9681EE-6229-4AA7-B7C0-4C332165C1D3}">
      <tableStyleElement type="headerRow" dxfId="71"/>
      <tableStyleElement type="firstRowStripe" dxfId="70"/>
      <tableStyleElement type="secondColumnStripe" dxfId="69"/>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CCFFCC"/>
      <rgbColor rgb="FFFFFF99"/>
      <rgbColor rgb="FFB4BAC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CDBD6"/>
      <color rgb="FFE8E4E2"/>
      <color rgb="FF898B89"/>
      <color rgb="FFB7C9D3"/>
      <color rgb="FFC10016"/>
      <color rgb="FF96BDC6"/>
      <color rgb="FF004677"/>
      <color rgb="FF002344"/>
      <color rgb="FFF04D38"/>
      <color rgb="FF2436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162670</xdr:colOff>
      <xdr:row>6</xdr:row>
      <xdr:rowOff>16400</xdr:rowOff>
    </xdr:from>
    <xdr:to>
      <xdr:col>15</xdr:col>
      <xdr:colOff>334639</xdr:colOff>
      <xdr:row>11</xdr:row>
      <xdr:rowOff>162422</xdr:rowOff>
    </xdr:to>
    <xdr:pic>
      <xdr:nvPicPr>
        <xdr:cNvPr id="2" name="Picture 1">
          <a:extLst>
            <a:ext uri="{FF2B5EF4-FFF2-40B4-BE49-F238E27FC236}">
              <a16:creationId xmlns:a16="http://schemas.microsoft.com/office/drawing/2014/main" id="{A6588034-1824-40CA-9027-0DF79ACBE37C}"/>
            </a:ext>
          </a:extLst>
        </xdr:cNvPr>
        <xdr:cNvPicPr>
          <a:picLocks noChangeAspect="1"/>
        </xdr:cNvPicPr>
      </xdr:nvPicPr>
      <xdr:blipFill>
        <a:blip xmlns:r="http://schemas.openxmlformats.org/officeDocument/2006/relationships" r:embed="rId1"/>
        <a:stretch>
          <a:fillRect/>
        </a:stretch>
      </xdr:blipFill>
      <xdr:spPr>
        <a:xfrm>
          <a:off x="9596561" y="1109704"/>
          <a:ext cx="784882" cy="1057109"/>
        </a:xfrm>
        <a:prstGeom prst="rect">
          <a:avLst/>
        </a:prstGeom>
        <a:ln w="12700">
          <a:solidFill>
            <a:schemeClr val="accent1"/>
          </a:solidFill>
        </a:ln>
      </xdr:spPr>
    </xdr:pic>
    <xdr:clientData/>
  </xdr:twoCellAnchor>
  <xdr:twoCellAnchor editAs="oneCell">
    <xdr:from>
      <xdr:col>10</xdr:col>
      <xdr:colOff>521639</xdr:colOff>
      <xdr:row>6</xdr:row>
      <xdr:rowOff>14081</xdr:rowOff>
    </xdr:from>
    <xdr:to>
      <xdr:col>14</xdr:col>
      <xdr:colOff>76188</xdr:colOff>
      <xdr:row>20</xdr:row>
      <xdr:rowOff>88335</xdr:rowOff>
    </xdr:to>
    <xdr:pic>
      <xdr:nvPicPr>
        <xdr:cNvPr id="3" name="Picture 2">
          <a:extLst>
            <a:ext uri="{FF2B5EF4-FFF2-40B4-BE49-F238E27FC236}">
              <a16:creationId xmlns:a16="http://schemas.microsoft.com/office/drawing/2014/main" id="{3C1B6CC5-9BED-4D0D-9465-0214157CFD24}"/>
            </a:ext>
          </a:extLst>
        </xdr:cNvPr>
        <xdr:cNvPicPr>
          <a:picLocks noChangeAspect="1"/>
        </xdr:cNvPicPr>
      </xdr:nvPicPr>
      <xdr:blipFill>
        <a:blip xmlns:r="http://schemas.openxmlformats.org/officeDocument/2006/relationships" r:embed="rId2"/>
        <a:stretch>
          <a:fillRect/>
        </a:stretch>
      </xdr:blipFill>
      <xdr:spPr>
        <a:xfrm>
          <a:off x="7503878" y="1107385"/>
          <a:ext cx="2006201" cy="2625298"/>
        </a:xfrm>
        <a:prstGeom prst="rect">
          <a:avLst/>
        </a:prstGeom>
        <a:ln w="12700">
          <a:solidFill>
            <a:schemeClr val="accent1"/>
          </a:solidFill>
        </a:ln>
      </xdr:spPr>
    </xdr:pic>
    <xdr:clientData/>
  </xdr:twoCellAnchor>
  <xdr:twoCellAnchor editAs="oneCell">
    <xdr:from>
      <xdr:col>7</xdr:col>
      <xdr:colOff>103864</xdr:colOff>
      <xdr:row>5</xdr:row>
      <xdr:rowOff>177082</xdr:rowOff>
    </xdr:from>
    <xdr:to>
      <xdr:col>10</xdr:col>
      <xdr:colOff>423678</xdr:colOff>
      <xdr:row>24</xdr:row>
      <xdr:rowOff>111863</xdr:rowOff>
    </xdr:to>
    <xdr:pic>
      <xdr:nvPicPr>
        <xdr:cNvPr id="4" name="Picture 3">
          <a:extLst>
            <a:ext uri="{FF2B5EF4-FFF2-40B4-BE49-F238E27FC236}">
              <a16:creationId xmlns:a16="http://schemas.microsoft.com/office/drawing/2014/main" id="{39BF7FCE-5985-441A-D7A1-8DD41CE14767}"/>
            </a:ext>
          </a:extLst>
        </xdr:cNvPr>
        <xdr:cNvPicPr>
          <a:picLocks noChangeAspect="1"/>
        </xdr:cNvPicPr>
      </xdr:nvPicPr>
      <xdr:blipFill>
        <a:blip xmlns:r="http://schemas.openxmlformats.org/officeDocument/2006/relationships" r:embed="rId3"/>
        <a:stretch>
          <a:fillRect/>
        </a:stretch>
      </xdr:blipFill>
      <xdr:spPr>
        <a:xfrm>
          <a:off x="5247364" y="1088169"/>
          <a:ext cx="2158553" cy="3396911"/>
        </a:xfrm>
        <a:prstGeom prst="rect">
          <a:avLst/>
        </a:prstGeom>
        <a:ln w="12700">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47301</xdr:colOff>
      <xdr:row>1</xdr:row>
      <xdr:rowOff>86509</xdr:rowOff>
    </xdr:from>
    <xdr:to>
      <xdr:col>1</xdr:col>
      <xdr:colOff>2053719</xdr:colOff>
      <xdr:row>3</xdr:row>
      <xdr:rowOff>130663</xdr:rowOff>
    </xdr:to>
    <xdr:pic>
      <xdr:nvPicPr>
        <xdr:cNvPr id="2" name="Picture 1">
          <a:extLst>
            <a:ext uri="{FF2B5EF4-FFF2-40B4-BE49-F238E27FC236}">
              <a16:creationId xmlns:a16="http://schemas.microsoft.com/office/drawing/2014/main" id="{460CF71B-9B76-9225-ECAB-5CB66CC1F30E}"/>
            </a:ext>
          </a:extLst>
        </xdr:cNvPr>
        <xdr:cNvPicPr>
          <a:picLocks noChangeAspect="1"/>
        </xdr:cNvPicPr>
      </xdr:nvPicPr>
      <xdr:blipFill>
        <a:blip xmlns:r="http://schemas.openxmlformats.org/officeDocument/2006/relationships" r:embed="rId1"/>
        <a:stretch>
          <a:fillRect/>
        </a:stretch>
      </xdr:blipFill>
      <xdr:spPr>
        <a:xfrm>
          <a:off x="247326" y="267484"/>
          <a:ext cx="2006418" cy="406104"/>
        </a:xfrm>
        <a:prstGeom prst="rect">
          <a:avLst/>
        </a:prstGeom>
      </xdr:spPr>
    </xdr:pic>
    <xdr:clientData/>
  </xdr:twoCellAnchor>
  <xdr:twoCellAnchor editAs="oneCell">
    <xdr:from>
      <xdr:col>1</xdr:col>
      <xdr:colOff>67236</xdr:colOff>
      <xdr:row>46</xdr:row>
      <xdr:rowOff>78441</xdr:rowOff>
    </xdr:from>
    <xdr:to>
      <xdr:col>1</xdr:col>
      <xdr:colOff>2079369</xdr:colOff>
      <xdr:row>46</xdr:row>
      <xdr:rowOff>477373</xdr:rowOff>
    </xdr:to>
    <xdr:pic>
      <xdr:nvPicPr>
        <xdr:cNvPr id="3" name="Picture 2">
          <a:extLst>
            <a:ext uri="{FF2B5EF4-FFF2-40B4-BE49-F238E27FC236}">
              <a16:creationId xmlns:a16="http://schemas.microsoft.com/office/drawing/2014/main" id="{9B0A713E-6468-486D-B29C-FF5F914B720B}"/>
            </a:ext>
          </a:extLst>
        </xdr:cNvPr>
        <xdr:cNvPicPr>
          <a:picLocks noChangeAspect="1"/>
        </xdr:cNvPicPr>
      </xdr:nvPicPr>
      <xdr:blipFill>
        <a:blip xmlns:r="http://schemas.openxmlformats.org/officeDocument/2006/relationships" r:embed="rId1"/>
        <a:stretch>
          <a:fillRect/>
        </a:stretch>
      </xdr:blipFill>
      <xdr:spPr>
        <a:xfrm>
          <a:off x="67236" y="10208559"/>
          <a:ext cx="2008323" cy="3951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38099</xdr:colOff>
      <xdr:row>0</xdr:row>
      <xdr:rowOff>102655</xdr:rowOff>
    </xdr:from>
    <xdr:to>
      <xdr:col>1</xdr:col>
      <xdr:colOff>341266</xdr:colOff>
      <xdr:row>0</xdr:row>
      <xdr:rowOff>322389</xdr:rowOff>
    </xdr:to>
    <xdr:pic>
      <xdr:nvPicPr>
        <xdr:cNvPr id="2" name="Picture 1">
          <a:extLst>
            <a:ext uri="{FF2B5EF4-FFF2-40B4-BE49-F238E27FC236}">
              <a16:creationId xmlns:a16="http://schemas.microsoft.com/office/drawing/2014/main" id="{E5CD9F53-AD15-40C6-BE12-7EE7A03AE797}"/>
            </a:ext>
          </a:extLst>
        </xdr:cNvPr>
        <xdr:cNvPicPr>
          <a:picLocks noChangeAspect="1"/>
        </xdr:cNvPicPr>
      </xdr:nvPicPr>
      <xdr:blipFill>
        <a:blip xmlns:r="http://schemas.openxmlformats.org/officeDocument/2006/relationships" r:embed="rId1"/>
        <a:stretch>
          <a:fillRect/>
        </a:stretch>
      </xdr:blipFill>
      <xdr:spPr>
        <a:xfrm>
          <a:off x="38099" y="102655"/>
          <a:ext cx="1214846" cy="2292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43815</xdr:rowOff>
    </xdr:from>
    <xdr:to>
      <xdr:col>0</xdr:col>
      <xdr:colOff>1163924</xdr:colOff>
      <xdr:row>0</xdr:row>
      <xdr:rowOff>250481</xdr:rowOff>
    </xdr:to>
    <xdr:pic>
      <xdr:nvPicPr>
        <xdr:cNvPr id="2" name="Picture 1">
          <a:extLst>
            <a:ext uri="{FF2B5EF4-FFF2-40B4-BE49-F238E27FC236}">
              <a16:creationId xmlns:a16="http://schemas.microsoft.com/office/drawing/2014/main" id="{ACAF3963-DFFF-49CC-AEC6-061AF286F5A4}"/>
            </a:ext>
          </a:extLst>
        </xdr:cNvPr>
        <xdr:cNvPicPr>
          <a:picLocks noChangeAspect="1"/>
        </xdr:cNvPicPr>
      </xdr:nvPicPr>
      <xdr:blipFill>
        <a:blip xmlns:r="http://schemas.openxmlformats.org/officeDocument/2006/relationships" r:embed="rId1"/>
        <a:stretch>
          <a:fillRect/>
        </a:stretch>
      </xdr:blipFill>
      <xdr:spPr>
        <a:xfrm>
          <a:off x="28575" y="43815"/>
          <a:ext cx="1125824" cy="21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xdr:colOff>
      <xdr:row>0</xdr:row>
      <xdr:rowOff>59055</xdr:rowOff>
    </xdr:from>
    <xdr:to>
      <xdr:col>0</xdr:col>
      <xdr:colOff>1142969</xdr:colOff>
      <xdr:row>0</xdr:row>
      <xdr:rowOff>246671</xdr:rowOff>
    </xdr:to>
    <xdr:pic>
      <xdr:nvPicPr>
        <xdr:cNvPr id="2" name="Picture 1">
          <a:extLst>
            <a:ext uri="{FF2B5EF4-FFF2-40B4-BE49-F238E27FC236}">
              <a16:creationId xmlns:a16="http://schemas.microsoft.com/office/drawing/2014/main" id="{0DABF547-7501-4763-B30A-10BB5FE56B5B}"/>
            </a:ext>
          </a:extLst>
        </xdr:cNvPr>
        <xdr:cNvPicPr>
          <a:picLocks noChangeAspect="1"/>
        </xdr:cNvPicPr>
      </xdr:nvPicPr>
      <xdr:blipFill>
        <a:blip xmlns:r="http://schemas.openxmlformats.org/officeDocument/2006/relationships" r:embed="rId1"/>
        <a:stretch>
          <a:fillRect/>
        </a:stretch>
      </xdr:blipFill>
      <xdr:spPr>
        <a:xfrm>
          <a:off x="30480" y="59055"/>
          <a:ext cx="1112489" cy="1971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xdr:colOff>
      <xdr:row>0</xdr:row>
      <xdr:rowOff>45720</xdr:rowOff>
    </xdr:from>
    <xdr:to>
      <xdr:col>0</xdr:col>
      <xdr:colOff>1133444</xdr:colOff>
      <xdr:row>0</xdr:row>
      <xdr:rowOff>231431</xdr:rowOff>
    </xdr:to>
    <xdr:pic>
      <xdr:nvPicPr>
        <xdr:cNvPr id="2" name="Picture 1">
          <a:extLst>
            <a:ext uri="{FF2B5EF4-FFF2-40B4-BE49-F238E27FC236}">
              <a16:creationId xmlns:a16="http://schemas.microsoft.com/office/drawing/2014/main" id="{4162B640-29F7-42D1-B480-A8F733D07D66}"/>
            </a:ext>
          </a:extLst>
        </xdr:cNvPr>
        <xdr:cNvPicPr>
          <a:picLocks noChangeAspect="1"/>
        </xdr:cNvPicPr>
      </xdr:nvPicPr>
      <xdr:blipFill>
        <a:blip xmlns:r="http://schemas.openxmlformats.org/officeDocument/2006/relationships" r:embed="rId1"/>
        <a:stretch>
          <a:fillRect/>
        </a:stretch>
      </xdr:blipFill>
      <xdr:spPr>
        <a:xfrm>
          <a:off x="15240" y="45720"/>
          <a:ext cx="1118204" cy="1857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0</xdr:col>
      <xdr:colOff>1346028</xdr:colOff>
      <xdr:row>0</xdr:row>
      <xdr:rowOff>266700</xdr:rowOff>
    </xdr:to>
    <xdr:pic>
      <xdr:nvPicPr>
        <xdr:cNvPr id="2" name="Picture 1">
          <a:extLst>
            <a:ext uri="{FF2B5EF4-FFF2-40B4-BE49-F238E27FC236}">
              <a16:creationId xmlns:a16="http://schemas.microsoft.com/office/drawing/2014/main" id="{61C1863C-E1AD-4445-B3B4-4AD785C10E55}"/>
            </a:ext>
          </a:extLst>
        </xdr:cNvPr>
        <xdr:cNvPicPr>
          <a:picLocks noChangeAspect="1"/>
        </xdr:cNvPicPr>
      </xdr:nvPicPr>
      <xdr:blipFill>
        <a:blip xmlns:r="http://schemas.openxmlformats.org/officeDocument/2006/relationships" r:embed="rId1"/>
        <a:stretch>
          <a:fillRect/>
        </a:stretch>
      </xdr:blipFill>
      <xdr:spPr>
        <a:xfrm>
          <a:off x="47625" y="57150"/>
          <a:ext cx="1296498" cy="209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64770</xdr:colOff>
      <xdr:row>0</xdr:row>
      <xdr:rowOff>53340</xdr:rowOff>
    </xdr:from>
    <xdr:to>
      <xdr:col>0</xdr:col>
      <xdr:colOff>1211549</xdr:colOff>
      <xdr:row>0</xdr:row>
      <xdr:rowOff>210476</xdr:rowOff>
    </xdr:to>
    <xdr:pic>
      <xdr:nvPicPr>
        <xdr:cNvPr id="2" name="Picture 1">
          <a:extLst>
            <a:ext uri="{FF2B5EF4-FFF2-40B4-BE49-F238E27FC236}">
              <a16:creationId xmlns:a16="http://schemas.microsoft.com/office/drawing/2014/main" id="{292F3CB9-080B-4C6E-B1DF-40C2A0926FD9}"/>
            </a:ext>
          </a:extLst>
        </xdr:cNvPr>
        <xdr:cNvPicPr>
          <a:picLocks noChangeAspect="1"/>
        </xdr:cNvPicPr>
      </xdr:nvPicPr>
      <xdr:blipFill>
        <a:blip xmlns:r="http://schemas.openxmlformats.org/officeDocument/2006/relationships" r:embed="rId1"/>
        <a:stretch>
          <a:fillRect/>
        </a:stretch>
      </xdr:blipFill>
      <xdr:spPr>
        <a:xfrm>
          <a:off x="64770" y="53340"/>
          <a:ext cx="1146779" cy="1571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49530</xdr:colOff>
      <xdr:row>0</xdr:row>
      <xdr:rowOff>129540</xdr:rowOff>
    </xdr:from>
    <xdr:to>
      <xdr:col>0</xdr:col>
      <xdr:colOff>1165829</xdr:colOff>
      <xdr:row>0</xdr:row>
      <xdr:rowOff>303821</xdr:rowOff>
    </xdr:to>
    <xdr:pic>
      <xdr:nvPicPr>
        <xdr:cNvPr id="2" name="Picture 1">
          <a:extLst>
            <a:ext uri="{FF2B5EF4-FFF2-40B4-BE49-F238E27FC236}">
              <a16:creationId xmlns:a16="http://schemas.microsoft.com/office/drawing/2014/main" id="{2882753A-3279-4F70-A01E-658798AB652E}"/>
            </a:ext>
          </a:extLst>
        </xdr:cNvPr>
        <xdr:cNvPicPr>
          <a:picLocks noChangeAspect="1"/>
        </xdr:cNvPicPr>
      </xdr:nvPicPr>
      <xdr:blipFill>
        <a:blip xmlns:r="http://schemas.openxmlformats.org/officeDocument/2006/relationships" r:embed="rId1"/>
        <a:stretch>
          <a:fillRect/>
        </a:stretch>
      </xdr:blipFill>
      <xdr:spPr>
        <a:xfrm>
          <a:off x="49530" y="129540"/>
          <a:ext cx="1116299" cy="17428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229591-350D-4841-8EC9-913304BB79C1}" name="Table10" displayName="Table10" ref="A2:O50" totalsRowShown="0" headerRowDxfId="62" dataDxfId="60" headerRowBorderDxfId="61" tableBorderDxfId="59" totalsRowBorderDxfId="58">
  <autoFilter ref="A2:O50" xr:uid="{CA229591-350D-4841-8EC9-913304BB79C1}"/>
  <tableColumns count="15">
    <tableColumn id="1" xr3:uid="{A39344F8-7766-434F-9FB5-297DD802CFC5}" name="ID" dataDxfId="57"/>
    <tableColumn id="2" xr3:uid="{3DDE24A1-D4E5-40AF-B58E-FE607D6A2EBB}" name="Date" dataDxfId="56"/>
    <tableColumn id="3" xr3:uid="{8AE3E96B-BC43-453F-A5A3-8378F2F6838D}" name="Source" dataDxfId="55"/>
    <tableColumn id="4" xr3:uid="{393A0EA1-BC2D-4595-9BC2-17E43EC4680A}" name="Requester" dataDxfId="54"/>
    <tableColumn id="5" xr3:uid="{727857D7-C4D3-46A6-A29A-84E76762C83B}" name="Scope" dataDxfId="53"/>
    <tableColumn id="6" xr3:uid="{682663A3-A103-402D-BC28-5E5F3C81E44B}" name="Sub-part" dataDxfId="52"/>
    <tableColumn id="7" xr3:uid="{9BD891B7-60D6-4F14-A355-E9ED260268B7}" name="Requirement as high-level need, spec or user story" dataDxfId="51"/>
    <tableColumn id="8" xr3:uid="{F60A60FD-37FF-46F4-9942-4BDE16A98C86}" name="Have today?" dataDxfId="50"/>
    <tableColumn id="9" xr3:uid="{1C2FD562-1078-4CD0-990A-2C19DD5F568A}" name="Priority" dataDxfId="49"/>
    <tableColumn id="10" xr3:uid="{17840043-6566-4DA5-8A41-C8BB8EDE4387}" name="Requirement Status" dataDxfId="48"/>
    <tableColumn id="11" xr3:uid="{8BC749C5-DBD2-4B0A-912A-FE0AB3679E63}" name="Scope2" dataDxfId="47"/>
    <tableColumn id="12" xr3:uid="{95EFCBE0-4BA3-49F7-A584-6B848BC1DE21}" name="Context, examples, clarifications, business rules" dataDxfId="46"/>
    <tableColumn id="13" xr3:uid="{DED1F43C-0D14-4873-B7E2-D5F46D54CF35}" name="Technical Comments" dataDxfId="45"/>
    <tableColumn id="14" xr3:uid="{059F5876-6F51-420E-9220-A8349D6D1808}" name="Remarks" dataDxfId="44"/>
    <tableColumn id="15" xr3:uid="{FEFD6A5F-1213-4F5A-B655-CD57E4C635D8}" name="Requested By" dataDxfId="43"/>
  </tableColumns>
  <tableStyleInfo name="LES_BRD_Table_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BE3731-BA8E-410C-AEA5-D234EB01D09F}" name="Table11" displayName="Table11" ref="A2:D54" totalsRowShown="0" headerRowDxfId="42" dataDxfId="40" headerRowBorderDxfId="41" tableBorderDxfId="39" totalsRowBorderDxfId="38">
  <autoFilter ref="A2:D54" xr:uid="{55BE3731-BA8E-410C-AEA5-D234EB01D09F}"/>
  <tableColumns count="4">
    <tableColumn id="1" xr3:uid="{A97975C2-F22D-46A1-B601-9249DCD3620F}" name="Category" dataDxfId="37"/>
    <tableColumn id="2" xr3:uid="{744D6CB2-F27F-478A-8E6D-5CD079518CCA}" name="Module" dataDxfId="36"/>
    <tableColumn id="3" xr3:uid="{36E58409-B6D3-4617-BCA2-A20B95DBAFC7}" name="Sub-Category" dataDxfId="35"/>
    <tableColumn id="4" xr3:uid="{E00790DA-09F4-4122-8484-87DBFF2B3EAB}" name="Requirement Description" dataDxfId="34"/>
  </tableColumns>
  <tableStyleInfo name="LES_BRD_Table_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B2FAC6-B562-4FCD-9F5D-38A16E78002B}" name="Table12" displayName="Table12" ref="A2:A18" totalsRowShown="0" headerRowDxfId="68" dataDxfId="66" headerRowBorderDxfId="67" tableBorderDxfId="65" totalsRowBorderDxfId="64">
  <autoFilter ref="A2:A18" xr:uid="{EEB2FAC6-B562-4FCD-9F5D-38A16E78002B}"/>
  <tableColumns count="1">
    <tableColumn id="1" xr3:uid="{9F9E6487-2ECA-43D5-944A-4CC14BDC2379}" name="Out of Scope Items" dataDxfId="63"/>
  </tableColumns>
  <tableStyleInfo name="LES_BRD_Table_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EBB246-3B73-45AF-B6B5-C299123D89DD}" name="Table13" displayName="Table13" ref="A2:B43" totalsRowShown="0" headerRowDxfId="33" dataDxfId="31" headerRowBorderDxfId="32" tableBorderDxfId="30" totalsRowBorderDxfId="29">
  <autoFilter ref="A2:B43" xr:uid="{8BEBB246-3B73-45AF-B6B5-C299123D89DD}"/>
  <tableColumns count="2">
    <tableColumn id="1" xr3:uid="{EA8F6F6C-D277-4FF3-835B-655A7FDE7151}" name="Scope" dataDxfId="28"/>
    <tableColumn id="2" xr3:uid="{82B2247E-90A5-4ECA-865A-ED95387741E0}" name="Description" dataDxfId="27"/>
  </tableColumns>
  <tableStyleInfo name="LES_BRD_Table_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34F03CC-7DC4-4ACD-8AEC-F8AAEC3D0E3B}" name="Table14" displayName="Table14" ref="A2:D6" totalsRowShown="0" headerRowDxfId="26" dataDxfId="24" headerRowBorderDxfId="25" tableBorderDxfId="23" totalsRowBorderDxfId="22">
  <autoFilter ref="A2:D6" xr:uid="{F34F03CC-7DC4-4ACD-8AEC-F8AAEC3D0E3B}"/>
  <tableColumns count="4">
    <tableColumn id="1" xr3:uid="{3BF47762-C611-4C5F-A76B-8B3224544571}" name="Version" dataDxfId="21"/>
    <tableColumn id="2" xr3:uid="{F8A34BE3-9B7F-4D64-80AB-E4428C4C049B}" name="Name and Role" dataDxfId="20"/>
    <tableColumn id="3" xr3:uid="{6377D361-2771-4110-9247-07150E12BD7B}" name="Signature" dataDxfId="19"/>
    <tableColumn id="4" xr3:uid="{B474CF9B-D55C-4324-A5B2-AF08EE0D3811}" name="Date" dataDxfId="18"/>
  </tableColumns>
  <tableStyleInfo name="LES_BRD_Table_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48ECD7E-341F-4173-80B0-9246AB5863B1}" name="Table15" displayName="Table15" ref="A2:D37" totalsRowShown="0" headerRowDxfId="17" dataDxfId="15" headerRowBorderDxfId="16" tableBorderDxfId="14" totalsRowBorderDxfId="13">
  <tableColumns count="4">
    <tableColumn id="1" xr3:uid="{5CCB8FF2-A5B9-45A8-9A9E-C66695437739}" name="Epic" dataDxfId="12"/>
    <tableColumn id="2" xr3:uid="{911EA58C-D735-4DE4-8A39-3DCEA5EA54F8}" name="Cycle" dataDxfId="11"/>
    <tableColumn id="3" xr3:uid="{4A9366C3-4218-411D-97A5-5CE83E34EBBB}" name="Column1" dataDxfId="10"/>
    <tableColumn id="4" xr3:uid="{99DD5326-6057-41D2-AE5C-50272C97C63C}" name="Column2" dataDxfId="9"/>
  </tableColumns>
  <tableStyleInfo name="LES_BRD_Table_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BCBAAF-193C-464A-A049-EC609D8DEFDE}" name="Table3" displayName="Table3" ref="A2:A11" totalsRowShown="0" headerRowDxfId="8" dataDxfId="7" headerRowCellStyle="Normal" dataCellStyle="Normal">
  <autoFilter ref="A2:A11" xr:uid="{42BCBAAF-193C-464A-A049-EC609D8DEFDE}"/>
  <tableColumns count="1">
    <tableColumn id="1" xr3:uid="{5E7DD0A5-CF56-4EF2-B7D0-01022BE5F946}" name="Covered by? Selections" dataDxfId="6" dataCellStyle="Normal"/>
  </tableColumns>
  <tableStyleInfo name="LES_BRD_Table_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1BA312D-5044-439C-852E-8185B2BA3DFB}" name="Table16" displayName="Table16" ref="A15:A20" totalsRowShown="0" headerRowDxfId="5" dataDxfId="3" headerRowBorderDxfId="4" tableBorderDxfId="2" totalsRowBorderDxfId="1">
  <autoFilter ref="A15:A20" xr:uid="{31BA312D-5044-439C-852E-8185B2BA3DFB}"/>
  <tableColumns count="1">
    <tableColumn id="1" xr3:uid="{8A98AB8D-3704-4F7F-85CB-0C70157A10A9}" name="Have today? Selections" dataDxfId="0"/>
  </tableColumns>
  <tableStyleInfo name="LES_BRD_Table_Style" showFirstColumn="0" showLastColumn="0" showRowStripes="1" showColumnStripes="0"/>
</table>
</file>

<file path=xl/theme/theme1.xml><?xml version="1.0" encoding="utf-8"?>
<a:theme xmlns:a="http://schemas.openxmlformats.org/drawingml/2006/main" name="Office Theme">
  <a:themeElements>
    <a:clrScheme name="Custom 1">
      <a:dk1>
        <a:srgbClr val="3F403F"/>
      </a:dk1>
      <a:lt1>
        <a:srgbClr val="FFFFFF"/>
      </a:lt1>
      <a:dk2>
        <a:srgbClr val="243641"/>
      </a:dk2>
      <a:lt2>
        <a:srgbClr val="E8E4E2"/>
      </a:lt2>
      <a:accent1>
        <a:srgbClr val="F04D38"/>
      </a:accent1>
      <a:accent2>
        <a:srgbClr val="002344"/>
      </a:accent2>
      <a:accent3>
        <a:srgbClr val="004677"/>
      </a:accent3>
      <a:accent4>
        <a:srgbClr val="96BDC6"/>
      </a:accent4>
      <a:accent5>
        <a:srgbClr val="C10016"/>
      </a:accent5>
      <a:accent6>
        <a:srgbClr val="B7C9D3"/>
      </a:accent6>
      <a:hlink>
        <a:srgbClr val="818387"/>
      </a:hlink>
      <a:folHlink>
        <a:srgbClr val="2B303A"/>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ynoptek.sharepoint.com/:w:/r/sites/LES/Shared%20Documents/Implementation/01-%20Discovery%20Phase/Recordings/Mar%2023%20-%20Data%20%26%20Services/Discovery%20Sessions_%20Data%20%26%20Services_Part2.docx?d=wc172834f5a3d4f8280a9c2730793b937&amp;csf=1&amp;web=1&amp;e=vXypUd" TargetMode="External"/><Relationship Id="rId2" Type="http://schemas.openxmlformats.org/officeDocument/2006/relationships/hyperlink" Target="https://synoptek.sharepoint.com/:w:/r/sites/LES/Shared%20Documents/Implementation/01-%20Discovery%20Phase/Recordings/Mar%2023%20-%20Data%20%26%20Services/Discovery%20Sessions_%20Data%20%26%20Services_Part1.docx?d=wfb57e37ac732455380111d3cace5fa38&amp;csf=1&amp;web=1&amp;e=yqQjFb" TargetMode="External"/><Relationship Id="rId1" Type="http://schemas.openxmlformats.org/officeDocument/2006/relationships/hyperlink" Target="https://synoptek.sharepoint.com/:w:/r/sites/LES/Shared%20Documents/Implementation/01-%20Discovery%20Phase/Recordings/Mar%2023%20-%20Data%20%26%20Services/Data%20_Services_Meeting%20Summary%20Notes.docx?d=w66c4e3e221f2437eadb1af49af85b379&amp;csf=1&amp;web=1&amp;e=ajWBbq" TargetMode="External"/><Relationship Id="rId5" Type="http://schemas.openxmlformats.org/officeDocument/2006/relationships/hyperlink" Target="https://synoptek.sharepoint.com/:w:/r/sites/LES/Shared%20Documents/Implementation/01-%20Discovery%20Phase/Recordings/IT%20Sync/afternoon%20summary_part2.docx?d=w0cdcc3548a5546ffb8676172ea3d0003&amp;csf=1&amp;web=1&amp;e=MrnNm1" TargetMode="External"/><Relationship Id="rId4" Type="http://schemas.openxmlformats.org/officeDocument/2006/relationships/hyperlink" Target="https://synoptek.sharepoint.com/:w:/r/sites/LES/Shared%20Documents/Implementation/01-%20Discovery%20Phase/Recordings/IT%20Sync/afternoon%20summary_part1.docx?d=w64a093557eaa4ae8a45d66fe84ccd5bb&amp;csf=1&amp;web=1&amp;e=nHmWc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809F-9761-4EF6-9BDF-A4F4D9DBA735}">
  <dimension ref="A1:A6"/>
  <sheetViews>
    <sheetView workbookViewId="0">
      <selection activeCell="A6" sqref="A6"/>
    </sheetView>
  </sheetViews>
  <sheetFormatPr defaultRowHeight="14.4" x14ac:dyDescent="0.3"/>
  <cols>
    <col min="1" max="1" width="58.88671875" customWidth="1"/>
  </cols>
  <sheetData>
    <row r="1" spans="1:1" x14ac:dyDescent="0.3">
      <c r="A1" t="s">
        <v>90</v>
      </c>
    </row>
    <row r="2" spans="1:1" x14ac:dyDescent="0.3">
      <c r="A2" s="79" t="s">
        <v>672</v>
      </c>
    </row>
    <row r="3" spans="1:1" x14ac:dyDescent="0.3">
      <c r="A3" s="79" t="s">
        <v>673</v>
      </c>
    </row>
    <row r="4" spans="1:1" x14ac:dyDescent="0.3">
      <c r="A4" s="79" t="s">
        <v>674</v>
      </c>
    </row>
    <row r="5" spans="1:1" x14ac:dyDescent="0.3">
      <c r="A5" s="79" t="s">
        <v>675</v>
      </c>
    </row>
    <row r="6" spans="1:1" x14ac:dyDescent="0.3">
      <c r="A6" s="79" t="s">
        <v>676</v>
      </c>
    </row>
  </sheetData>
  <hyperlinks>
    <hyperlink ref="A2" r:id="rId1" display="https://synoptek.sharepoint.com/:w:/r/sites/LES/Shared Documents/Implementation/01- Discovery Phase/Recordings/Mar 23 - Data %26 Services/Data _Services_Meeting Summary Notes.docx?d=w66c4e3e221f2437eadb1af49af85b379&amp;csf=1&amp;web=1&amp;e=ajWBbq" xr:uid="{BF994A70-0D25-4258-AE43-CFD6FA58315B}"/>
    <hyperlink ref="A3" r:id="rId2" display="https://synoptek.sharepoint.com/:w:/r/sites/LES/Shared Documents/Implementation/01- Discovery Phase/Recordings/Mar 23 - Data %26 Services/Discovery Sessions_ Data %26 Services_Part1.docx?d=wfb57e37ac732455380111d3cace5fa38&amp;csf=1&amp;web=1&amp;e=yqQjFb" xr:uid="{E478ED15-AC6E-45D8-83D5-0B848917E933}"/>
    <hyperlink ref="A4" r:id="rId3" display="https://synoptek.sharepoint.com/:w:/r/sites/LES/Shared Documents/Implementation/01- Discovery Phase/Recordings/Mar 23 - Data %26 Services/Discovery Sessions_ Data %26 Services_Part2.docx?d=wc172834f5a3d4f8280a9c2730793b937&amp;csf=1&amp;web=1&amp;e=vXypUd" xr:uid="{A85DF9E1-FC76-413B-A338-37D0CB0B9BEF}"/>
    <hyperlink ref="A5" r:id="rId4" display="https://synoptek.sharepoint.com/:w:/r/sites/LES/Shared Documents/Implementation/01- Discovery Phase/Recordings/IT Sync/afternoon summary_part1.docx?d=w64a093557eaa4ae8a45d66fe84ccd5bb&amp;csf=1&amp;web=1&amp;e=nHmWcd" xr:uid="{134A4957-0A4B-4F8B-99DF-295EE0D1B70B}"/>
    <hyperlink ref="A6" r:id="rId5" display="https://synoptek.sharepoint.com/:w:/r/sites/LES/Shared Documents/Implementation/01- Discovery Phase/Recordings/IT Sync/afternoon summary_part2.docx?d=w0cdcc3548a5546ffb8676172ea3d0003&amp;csf=1&amp;web=1&amp;e=MrnNm1" xr:uid="{DAF0A849-5CE4-4C8D-AC2C-2ABB86DFF7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71E7-0127-485E-B805-E8C86C4D9B36}">
  <dimension ref="F7:G19"/>
  <sheetViews>
    <sheetView topLeftCell="B3" zoomScale="115" zoomScaleNormal="115" workbookViewId="0">
      <selection activeCell="Q17" sqref="Q17"/>
    </sheetView>
  </sheetViews>
  <sheetFormatPr defaultColWidth="8.88671875" defaultRowHeight="14.4" x14ac:dyDescent="0.3"/>
  <cols>
    <col min="1" max="5" width="8.88671875" style="2"/>
    <col min="6" max="6" width="17.44140625" style="2" bestFit="1" customWidth="1"/>
    <col min="7" max="7" width="12.6640625" style="2" bestFit="1" customWidth="1"/>
    <col min="8" max="16384" width="8.88671875" style="2"/>
  </cols>
  <sheetData>
    <row r="7" spans="6:7" x14ac:dyDescent="0.3">
      <c r="F7" s="4" t="s">
        <v>0</v>
      </c>
      <c r="G7" s="5" t="s">
        <v>1</v>
      </c>
    </row>
    <row r="8" spans="6:7" x14ac:dyDescent="0.3">
      <c r="F8" s="80" t="s">
        <v>2</v>
      </c>
      <c r="G8" s="80"/>
    </row>
    <row r="9" spans="6:7" x14ac:dyDescent="0.3">
      <c r="F9" s="3" t="s">
        <v>3</v>
      </c>
      <c r="G9" s="6" t="s">
        <v>4</v>
      </c>
    </row>
    <row r="10" spans="6:7" x14ac:dyDescent="0.3">
      <c r="F10" s="3" t="s">
        <v>5</v>
      </c>
      <c r="G10" s="7" t="s">
        <v>6</v>
      </c>
    </row>
    <row r="11" spans="6:7" x14ac:dyDescent="0.3">
      <c r="F11" s="3" t="s">
        <v>7</v>
      </c>
      <c r="G11" s="8" t="s">
        <v>8</v>
      </c>
    </row>
    <row r="12" spans="6:7" x14ac:dyDescent="0.3">
      <c r="F12" s="3" t="s">
        <v>9</v>
      </c>
      <c r="G12" s="9" t="s">
        <v>10</v>
      </c>
    </row>
    <row r="13" spans="6:7" x14ac:dyDescent="0.3">
      <c r="F13" s="3" t="s">
        <v>11</v>
      </c>
      <c r="G13" s="10" t="s">
        <v>12</v>
      </c>
    </row>
    <row r="14" spans="6:7" x14ac:dyDescent="0.3">
      <c r="F14" s="3" t="s">
        <v>13</v>
      </c>
      <c r="G14" s="11" t="s">
        <v>14</v>
      </c>
    </row>
    <row r="15" spans="6:7" x14ac:dyDescent="0.3">
      <c r="F15" s="3" t="s">
        <v>15</v>
      </c>
      <c r="G15" s="12" t="s">
        <v>16</v>
      </c>
    </row>
    <row r="16" spans="6:7" x14ac:dyDescent="0.3">
      <c r="F16" s="3" t="s">
        <v>17</v>
      </c>
      <c r="G16" s="13" t="s">
        <v>18</v>
      </c>
    </row>
    <row r="17" spans="6:7" x14ac:dyDescent="0.3">
      <c r="F17" s="3" t="s">
        <v>19</v>
      </c>
      <c r="G17" s="14" t="s">
        <v>20</v>
      </c>
    </row>
    <row r="18" spans="6:7" x14ac:dyDescent="0.3">
      <c r="F18" s="3" t="s">
        <v>21</v>
      </c>
      <c r="G18" s="15" t="s">
        <v>22</v>
      </c>
    </row>
    <row r="19" spans="6:7" x14ac:dyDescent="0.3">
      <c r="F19" s="3" t="s">
        <v>23</v>
      </c>
      <c r="G19" s="16" t="s">
        <v>24</v>
      </c>
    </row>
  </sheetData>
  <mergeCells count="1">
    <mergeCell ref="F8:G8"/>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2B94-79B0-4793-A7B3-EB665C757309}">
  <dimension ref="B2:J47"/>
  <sheetViews>
    <sheetView showGridLines="0" tabSelected="1" topLeftCell="A2" zoomScale="90" zoomScaleNormal="90" workbookViewId="0">
      <selection activeCell="C10" sqref="C10"/>
    </sheetView>
  </sheetViews>
  <sheetFormatPr defaultColWidth="8.88671875" defaultRowHeight="14.4" x14ac:dyDescent="0.3"/>
  <cols>
    <col min="1" max="1" width="2.88671875" style="2" customWidth="1"/>
    <col min="2" max="2" width="37" style="18" customWidth="1"/>
    <col min="3" max="3" width="92.5546875" style="1" customWidth="1"/>
    <col min="4" max="5" width="8.88671875" style="2"/>
    <col min="6" max="6" width="12.109375" style="2" bestFit="1" customWidth="1"/>
    <col min="7" max="16384" width="8.88671875" style="2"/>
  </cols>
  <sheetData>
    <row r="2" spans="2:7" x14ac:dyDescent="0.3">
      <c r="B2" s="84" t="s">
        <v>25</v>
      </c>
      <c r="C2" s="85"/>
    </row>
    <row r="3" spans="2:7" x14ac:dyDescent="0.3">
      <c r="B3" s="85"/>
      <c r="C3" s="85"/>
    </row>
    <row r="4" spans="2:7" x14ac:dyDescent="0.3">
      <c r="B4" s="85"/>
      <c r="C4" s="85"/>
    </row>
    <row r="5" spans="2:7" ht="40.200000000000003" customHeight="1" x14ac:dyDescent="0.3">
      <c r="B5" s="86" t="s">
        <v>26</v>
      </c>
      <c r="C5" s="87"/>
      <c r="G5" s="1"/>
    </row>
    <row r="6" spans="2:7" ht="28.2" customHeight="1" x14ac:dyDescent="0.3">
      <c r="B6" s="81" t="s">
        <v>27</v>
      </c>
      <c r="C6" s="81"/>
    </row>
    <row r="7" spans="2:7" ht="31.2" x14ac:dyDescent="0.3">
      <c r="B7" s="24" t="s">
        <v>28</v>
      </c>
      <c r="C7" s="19" t="s">
        <v>29</v>
      </c>
    </row>
    <row r="8" spans="2:7" ht="15.6" x14ac:dyDescent="0.3">
      <c r="B8" s="25" t="s">
        <v>30</v>
      </c>
      <c r="C8" s="19" t="s">
        <v>31</v>
      </c>
    </row>
    <row r="9" spans="2:7" ht="15.6" x14ac:dyDescent="0.3">
      <c r="B9" s="25" t="s">
        <v>32</v>
      </c>
      <c r="C9" s="19" t="s">
        <v>33</v>
      </c>
    </row>
    <row r="10" spans="2:7" ht="15.6" x14ac:dyDescent="0.3">
      <c r="B10" s="25" t="s">
        <v>670</v>
      </c>
      <c r="C10" s="19" t="s">
        <v>671</v>
      </c>
    </row>
    <row r="11" spans="2:7" ht="15.6" x14ac:dyDescent="0.3">
      <c r="B11" s="25" t="s">
        <v>34</v>
      </c>
      <c r="C11" s="21">
        <f>COUNTA(#REF!)-1</f>
        <v>0</v>
      </c>
    </row>
    <row r="12" spans="2:7" x14ac:dyDescent="0.3">
      <c r="B12" s="88"/>
      <c r="C12" s="88"/>
    </row>
    <row r="13" spans="2:7" ht="28.2" customHeight="1" x14ac:dyDescent="0.3">
      <c r="B13" s="81" t="s">
        <v>35</v>
      </c>
      <c r="C13" s="81"/>
    </row>
    <row r="14" spans="2:7" ht="15.6" x14ac:dyDescent="0.3">
      <c r="B14" s="20" t="s">
        <v>36</v>
      </c>
      <c r="C14" s="19" t="s">
        <v>37</v>
      </c>
    </row>
    <row r="15" spans="2:7" ht="15.6" x14ac:dyDescent="0.3">
      <c r="B15" s="20" t="s">
        <v>38</v>
      </c>
      <c r="C15" s="19" t="s">
        <v>39</v>
      </c>
    </row>
    <row r="16" spans="2:7" ht="15.6" x14ac:dyDescent="0.3">
      <c r="B16" s="20" t="s">
        <v>40</v>
      </c>
      <c r="C16" s="19" t="s">
        <v>41</v>
      </c>
    </row>
    <row r="17" spans="2:3" ht="15.6" x14ac:dyDescent="0.3">
      <c r="B17" s="20" t="s">
        <v>42</v>
      </c>
      <c r="C17" s="19" t="s">
        <v>43</v>
      </c>
    </row>
    <row r="18" spans="2:3" ht="15.6" x14ac:dyDescent="0.3">
      <c r="B18" s="20" t="s">
        <v>44</v>
      </c>
      <c r="C18" s="21" t="s">
        <v>45</v>
      </c>
    </row>
    <row r="19" spans="2:3" x14ac:dyDescent="0.3">
      <c r="B19" s="88"/>
      <c r="C19" s="88"/>
    </row>
    <row r="20" spans="2:3" ht="28.2" customHeight="1" x14ac:dyDescent="0.3">
      <c r="B20" s="81" t="s">
        <v>46</v>
      </c>
      <c r="C20" s="81"/>
    </row>
    <row r="21" spans="2:3" ht="15.6" x14ac:dyDescent="0.3">
      <c r="B21" s="20" t="s">
        <v>47</v>
      </c>
      <c r="C21" s="19" t="s">
        <v>48</v>
      </c>
    </row>
    <row r="22" spans="2:3" ht="15.6" x14ac:dyDescent="0.3">
      <c r="B22" s="20" t="s">
        <v>49</v>
      </c>
      <c r="C22" s="19" t="s">
        <v>50</v>
      </c>
    </row>
    <row r="23" spans="2:3" ht="15.6" x14ac:dyDescent="0.3">
      <c r="B23" s="20" t="s">
        <v>51</v>
      </c>
      <c r="C23" s="19" t="s">
        <v>52</v>
      </c>
    </row>
    <row r="24" spans="2:3" ht="15.6" x14ac:dyDescent="0.3">
      <c r="B24" s="20" t="s">
        <v>53</v>
      </c>
      <c r="C24" s="19" t="s">
        <v>54</v>
      </c>
    </row>
    <row r="25" spans="2:3" ht="15.6" x14ac:dyDescent="0.3">
      <c r="B25" s="20" t="s">
        <v>55</v>
      </c>
      <c r="C25" s="21" t="s">
        <v>56</v>
      </c>
    </row>
    <row r="26" spans="2:3" ht="15.6" x14ac:dyDescent="0.3">
      <c r="B26" s="20" t="s">
        <v>57</v>
      </c>
      <c r="C26" s="19" t="s">
        <v>58</v>
      </c>
    </row>
    <row r="27" spans="2:3" ht="15.6" x14ac:dyDescent="0.3">
      <c r="B27" s="20" t="s">
        <v>59</v>
      </c>
      <c r="C27" s="19" t="s">
        <v>60</v>
      </c>
    </row>
    <row r="28" spans="2:3" ht="15.6" x14ac:dyDescent="0.3">
      <c r="B28" s="20" t="s">
        <v>61</v>
      </c>
      <c r="C28" s="19" t="s">
        <v>62</v>
      </c>
    </row>
    <row r="29" spans="2:3" x14ac:dyDescent="0.3">
      <c r="B29" s="88"/>
      <c r="C29" s="88"/>
    </row>
    <row r="30" spans="2:3" ht="28.2" customHeight="1" x14ac:dyDescent="0.3">
      <c r="B30" s="81" t="s">
        <v>63</v>
      </c>
      <c r="C30" s="81"/>
    </row>
    <row r="31" spans="2:3" ht="15.6" x14ac:dyDescent="0.3">
      <c r="B31" s="20" t="s">
        <v>64</v>
      </c>
      <c r="C31" s="19" t="s">
        <v>65</v>
      </c>
    </row>
    <row r="32" spans="2:3" ht="15.6" x14ac:dyDescent="0.3">
      <c r="B32" s="20" t="s">
        <v>66</v>
      </c>
      <c r="C32" s="21">
        <f>COUNTA(#REF!)-1</f>
        <v>0</v>
      </c>
    </row>
    <row r="33" spans="2:10" ht="15.6" x14ac:dyDescent="0.3">
      <c r="B33" s="20" t="s">
        <v>67</v>
      </c>
      <c r="C33" s="21">
        <f>COUNTA('Scope Checklist Requirements'!A:A)-1</f>
        <v>53</v>
      </c>
    </row>
    <row r="34" spans="2:10" ht="15.6" x14ac:dyDescent="0.3">
      <c r="B34" s="20" t="s">
        <v>68</v>
      </c>
      <c r="C34" s="21">
        <f>COUNTA(Scope!A:A)-1</f>
        <v>42</v>
      </c>
    </row>
    <row r="35" spans="2:10" ht="15.6" x14ac:dyDescent="0.3">
      <c r="B35" s="20" t="s">
        <v>69</v>
      </c>
      <c r="C35" s="21">
        <f>COUNTA('Out of Scope'!A:A)-1</f>
        <v>17</v>
      </c>
    </row>
    <row r="36" spans="2:10" x14ac:dyDescent="0.3">
      <c r="B36" s="22"/>
      <c r="C36" s="23"/>
    </row>
    <row r="37" spans="2:10" ht="28.2" customHeight="1" x14ac:dyDescent="0.3">
      <c r="B37" s="81" t="s">
        <v>70</v>
      </c>
      <c r="C37" s="81"/>
    </row>
    <row r="38" spans="2:10" ht="15.6" x14ac:dyDescent="0.3">
      <c r="B38" s="20" t="s">
        <v>71</v>
      </c>
      <c r="C38" s="19" t="s">
        <v>48</v>
      </c>
    </row>
    <row r="39" spans="2:10" ht="15.6" x14ac:dyDescent="0.3">
      <c r="B39" s="20" t="s">
        <v>72</v>
      </c>
      <c r="C39" s="21" t="s">
        <v>73</v>
      </c>
      <c r="J39" s="17"/>
    </row>
    <row r="40" spans="2:10" ht="15.6" x14ac:dyDescent="0.3">
      <c r="B40" s="20" t="s">
        <v>74</v>
      </c>
      <c r="C40" s="21" t="s">
        <v>75</v>
      </c>
    </row>
    <row r="41" spans="2:10" ht="15.6" x14ac:dyDescent="0.3">
      <c r="B41" s="20" t="s">
        <v>76</v>
      </c>
      <c r="C41" s="21" t="s">
        <v>77</v>
      </c>
    </row>
    <row r="42" spans="2:10" ht="15.6" x14ac:dyDescent="0.3">
      <c r="B42" s="20" t="s">
        <v>78</v>
      </c>
      <c r="C42" s="21" t="s">
        <v>79</v>
      </c>
    </row>
    <row r="43" spans="2:10" ht="15.6" x14ac:dyDescent="0.3">
      <c r="B43" s="20" t="s">
        <v>80</v>
      </c>
      <c r="C43" s="19" t="s">
        <v>81</v>
      </c>
    </row>
    <row r="44" spans="2:10" ht="15.6" x14ac:dyDescent="0.3">
      <c r="B44" s="20" t="s">
        <v>82</v>
      </c>
      <c r="C44" s="21" t="s">
        <v>83</v>
      </c>
    </row>
    <row r="45" spans="2:10" ht="15.6" x14ac:dyDescent="0.3">
      <c r="B45" s="20" t="s">
        <v>84</v>
      </c>
      <c r="C45" s="21" t="s">
        <v>85</v>
      </c>
    </row>
    <row r="46" spans="2:10" x14ac:dyDescent="0.3">
      <c r="B46" s="22"/>
      <c r="C46" s="23"/>
    </row>
    <row r="47" spans="2:10" ht="43.2" customHeight="1" x14ac:dyDescent="0.3">
      <c r="B47" s="82" t="s">
        <v>86</v>
      </c>
      <c r="C47" s="83"/>
    </row>
  </sheetData>
  <mergeCells count="11">
    <mergeCell ref="B37:C37"/>
    <mergeCell ref="B47:C47"/>
    <mergeCell ref="B2:C4"/>
    <mergeCell ref="B5:C5"/>
    <mergeCell ref="B6:C6"/>
    <mergeCell ref="B13:C13"/>
    <mergeCell ref="B20:C20"/>
    <mergeCell ref="B30:C30"/>
    <mergeCell ref="B12:C12"/>
    <mergeCell ref="B19:C19"/>
    <mergeCell ref="B29:C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D4B0-2024-4126-8C3E-35CDB101A48E}">
  <dimension ref="A1:O50"/>
  <sheetViews>
    <sheetView showGridLines="0" zoomScale="90" zoomScaleNormal="90" workbookViewId="0">
      <pane ySplit="2" topLeftCell="A3" activePane="bottomLeft" state="frozen"/>
      <selection pane="bottomLeft" activeCell="E7" sqref="E7"/>
    </sheetView>
  </sheetViews>
  <sheetFormatPr defaultColWidth="8.88671875" defaultRowHeight="14.4" x14ac:dyDescent="0.3"/>
  <cols>
    <col min="1" max="1" width="13.33203125" style="30" customWidth="1"/>
    <col min="2" max="2" width="11.33203125" style="30" bestFit="1" customWidth="1"/>
    <col min="3" max="3" width="17.44140625" style="30" bestFit="1" customWidth="1"/>
    <col min="4" max="4" width="39.33203125" style="30" bestFit="1" customWidth="1"/>
    <col min="5" max="5" width="14.6640625" style="30" customWidth="1"/>
    <col min="6" max="6" width="38.33203125" style="30" bestFit="1" customWidth="1"/>
    <col min="7" max="7" width="60.109375" style="31" bestFit="1" customWidth="1"/>
    <col min="8" max="8" width="32.109375" style="30" bestFit="1" customWidth="1"/>
    <col min="9" max="9" width="10.44140625" style="30" bestFit="1" customWidth="1"/>
    <col min="10" max="10" width="15.6640625" style="30" bestFit="1" customWidth="1"/>
    <col min="11" max="11" width="27.109375" style="30" bestFit="1" customWidth="1"/>
    <col min="12" max="12" width="69.44140625" style="31" bestFit="1" customWidth="1"/>
    <col min="13" max="13" width="44.5546875" style="31" bestFit="1" customWidth="1"/>
    <col min="14" max="14" width="28.6640625" style="31" customWidth="1"/>
    <col min="15" max="15" width="53.6640625" style="30" bestFit="1" customWidth="1"/>
    <col min="16" max="16384" width="8.88671875" style="30"/>
  </cols>
  <sheetData>
    <row r="1" spans="1:15" ht="39" customHeight="1" x14ac:dyDescent="0.3">
      <c r="A1" s="89" t="s">
        <v>87</v>
      </c>
      <c r="B1" s="90"/>
      <c r="C1" s="90"/>
      <c r="D1" s="90"/>
      <c r="E1" s="90"/>
      <c r="F1" s="90"/>
      <c r="G1" s="90"/>
      <c r="H1" s="90"/>
      <c r="I1" s="90"/>
      <c r="J1" s="90"/>
      <c r="K1" s="90"/>
      <c r="L1" s="90"/>
      <c r="M1" s="90"/>
      <c r="N1" s="90"/>
      <c r="O1" s="91"/>
    </row>
    <row r="2" spans="1:15" s="36" customFormat="1" ht="31.8" customHeight="1" x14ac:dyDescent="0.3">
      <c r="A2" s="32" t="s">
        <v>88</v>
      </c>
      <c r="B2" s="33" t="s">
        <v>89</v>
      </c>
      <c r="C2" s="33" t="s">
        <v>90</v>
      </c>
      <c r="D2" s="33" t="s">
        <v>91</v>
      </c>
      <c r="E2" s="33" t="s">
        <v>76</v>
      </c>
      <c r="F2" s="33" t="s">
        <v>92</v>
      </c>
      <c r="G2" s="34" t="s">
        <v>93</v>
      </c>
      <c r="H2" s="33" t="s">
        <v>94</v>
      </c>
      <c r="I2" s="33" t="s">
        <v>95</v>
      </c>
      <c r="J2" s="33" t="s">
        <v>96</v>
      </c>
      <c r="K2" s="33" t="s">
        <v>97</v>
      </c>
      <c r="L2" s="34" t="s">
        <v>98</v>
      </c>
      <c r="M2" s="34" t="s">
        <v>99</v>
      </c>
      <c r="N2" s="34" t="s">
        <v>100</v>
      </c>
      <c r="O2" s="35" t="s">
        <v>101</v>
      </c>
    </row>
    <row r="3" spans="1:15" ht="109.2" x14ac:dyDescent="0.3">
      <c r="A3" s="37" t="s">
        <v>102</v>
      </c>
      <c r="B3" s="38" t="s">
        <v>103</v>
      </c>
      <c r="C3" s="38" t="s">
        <v>104</v>
      </c>
      <c r="D3" s="38" t="s">
        <v>105</v>
      </c>
      <c r="E3" s="38" t="s">
        <v>106</v>
      </c>
      <c r="F3" s="38" t="s">
        <v>107</v>
      </c>
      <c r="G3" s="39" t="s">
        <v>108</v>
      </c>
      <c r="H3" s="38" t="s">
        <v>109</v>
      </c>
      <c r="I3" s="38" t="s">
        <v>110</v>
      </c>
      <c r="J3" s="38" t="s">
        <v>111</v>
      </c>
      <c r="K3" s="38" t="s">
        <v>112</v>
      </c>
      <c r="L3" s="39" t="s">
        <v>113</v>
      </c>
      <c r="M3" s="39" t="s">
        <v>114</v>
      </c>
      <c r="N3" s="39"/>
      <c r="O3" s="40" t="s">
        <v>105</v>
      </c>
    </row>
    <row r="4" spans="1:15" ht="93.6" x14ac:dyDescent="0.3">
      <c r="A4" s="37" t="s">
        <v>115</v>
      </c>
      <c r="B4" s="38" t="s">
        <v>103</v>
      </c>
      <c r="C4" s="38" t="s">
        <v>104</v>
      </c>
      <c r="D4" s="38" t="s">
        <v>36</v>
      </c>
      <c r="E4" s="38" t="s">
        <v>106</v>
      </c>
      <c r="F4" s="38" t="s">
        <v>116</v>
      </c>
      <c r="G4" s="39" t="s">
        <v>117</v>
      </c>
      <c r="H4" s="38" t="s">
        <v>109</v>
      </c>
      <c r="I4" s="38" t="s">
        <v>110</v>
      </c>
      <c r="J4" s="38" t="s">
        <v>111</v>
      </c>
      <c r="K4" s="38" t="s">
        <v>112</v>
      </c>
      <c r="L4" s="39" t="s">
        <v>118</v>
      </c>
      <c r="M4" s="39" t="s">
        <v>119</v>
      </c>
      <c r="N4" s="39"/>
      <c r="O4" s="40" t="s">
        <v>120</v>
      </c>
    </row>
    <row r="5" spans="1:15" ht="93.6" x14ac:dyDescent="0.3">
      <c r="A5" s="37" t="s">
        <v>121</v>
      </c>
      <c r="B5" s="38" t="s">
        <v>103</v>
      </c>
      <c r="C5" s="38" t="s">
        <v>104</v>
      </c>
      <c r="D5" s="38" t="s">
        <v>36</v>
      </c>
      <c r="E5" s="38" t="s">
        <v>106</v>
      </c>
      <c r="F5" s="38" t="s">
        <v>122</v>
      </c>
      <c r="G5" s="39" t="s">
        <v>123</v>
      </c>
      <c r="H5" s="38" t="s">
        <v>109</v>
      </c>
      <c r="I5" s="38" t="s">
        <v>110</v>
      </c>
      <c r="J5" s="38" t="s">
        <v>111</v>
      </c>
      <c r="K5" s="38" t="s">
        <v>112</v>
      </c>
      <c r="L5" s="39" t="s">
        <v>124</v>
      </c>
      <c r="M5" s="39" t="s">
        <v>125</v>
      </c>
      <c r="N5" s="39"/>
      <c r="O5" s="40" t="s">
        <v>126</v>
      </c>
    </row>
    <row r="6" spans="1:15" ht="109.2" x14ac:dyDescent="0.3">
      <c r="A6" s="37" t="s">
        <v>127</v>
      </c>
      <c r="B6" s="38" t="s">
        <v>128</v>
      </c>
      <c r="C6" s="38" t="s">
        <v>104</v>
      </c>
      <c r="D6" s="38" t="s">
        <v>36</v>
      </c>
      <c r="E6" s="38" t="s">
        <v>106</v>
      </c>
      <c r="F6" s="38" t="s">
        <v>129</v>
      </c>
      <c r="G6" s="39" t="s">
        <v>130</v>
      </c>
      <c r="H6" s="38" t="s">
        <v>131</v>
      </c>
      <c r="I6" s="38" t="s">
        <v>110</v>
      </c>
      <c r="J6" s="38" t="s">
        <v>111</v>
      </c>
      <c r="K6" s="38" t="s">
        <v>132</v>
      </c>
      <c r="L6" s="39" t="s">
        <v>133</v>
      </c>
      <c r="M6" s="39" t="s">
        <v>134</v>
      </c>
      <c r="N6" s="39" t="s">
        <v>135</v>
      </c>
      <c r="O6" s="40" t="s">
        <v>36</v>
      </c>
    </row>
    <row r="7" spans="1:15" ht="93.6" x14ac:dyDescent="0.3">
      <c r="A7" s="37" t="s">
        <v>136</v>
      </c>
      <c r="B7" s="38" t="s">
        <v>103</v>
      </c>
      <c r="C7" s="38" t="s">
        <v>104</v>
      </c>
      <c r="D7" s="38" t="s">
        <v>105</v>
      </c>
      <c r="E7" s="38" t="s">
        <v>106</v>
      </c>
      <c r="F7" s="38" t="s">
        <v>137</v>
      </c>
      <c r="G7" s="39" t="s">
        <v>138</v>
      </c>
      <c r="H7" s="38" t="s">
        <v>109</v>
      </c>
      <c r="I7" s="38" t="s">
        <v>110</v>
      </c>
      <c r="J7" s="38" t="s">
        <v>111</v>
      </c>
      <c r="K7" s="38" t="s">
        <v>112</v>
      </c>
      <c r="L7" s="39" t="s">
        <v>139</v>
      </c>
      <c r="M7" s="39" t="s">
        <v>140</v>
      </c>
      <c r="N7" s="39"/>
      <c r="O7" s="40" t="s">
        <v>38</v>
      </c>
    </row>
    <row r="8" spans="1:15" ht="93.6" x14ac:dyDescent="0.3">
      <c r="A8" s="37" t="s">
        <v>141</v>
      </c>
      <c r="B8" s="38" t="s">
        <v>128</v>
      </c>
      <c r="C8" s="38" t="s">
        <v>104</v>
      </c>
      <c r="D8" s="38" t="s">
        <v>36</v>
      </c>
      <c r="E8" s="38" t="s">
        <v>106</v>
      </c>
      <c r="F8" s="38" t="s">
        <v>142</v>
      </c>
      <c r="G8" s="39" t="s">
        <v>143</v>
      </c>
      <c r="H8" s="38" t="s">
        <v>131</v>
      </c>
      <c r="I8" s="38" t="s">
        <v>110</v>
      </c>
      <c r="J8" s="38" t="s">
        <v>111</v>
      </c>
      <c r="K8" s="38" t="s">
        <v>144</v>
      </c>
      <c r="L8" s="39" t="s">
        <v>145</v>
      </c>
      <c r="M8" s="39" t="s">
        <v>146</v>
      </c>
      <c r="N8" s="39" t="s">
        <v>147</v>
      </c>
      <c r="O8" s="40" t="s">
        <v>36</v>
      </c>
    </row>
    <row r="9" spans="1:15" ht="93.6" x14ac:dyDescent="0.3">
      <c r="A9" s="37" t="s">
        <v>148</v>
      </c>
      <c r="B9" s="38" t="s">
        <v>103</v>
      </c>
      <c r="C9" s="38" t="s">
        <v>104</v>
      </c>
      <c r="D9" s="38" t="s">
        <v>105</v>
      </c>
      <c r="E9" s="38" t="s">
        <v>57</v>
      </c>
      <c r="F9" s="38" t="s">
        <v>149</v>
      </c>
      <c r="G9" s="39" t="s">
        <v>150</v>
      </c>
      <c r="H9" s="38" t="s">
        <v>131</v>
      </c>
      <c r="I9" s="38" t="s">
        <v>110</v>
      </c>
      <c r="J9" s="38" t="s">
        <v>111</v>
      </c>
      <c r="K9" s="38" t="s">
        <v>144</v>
      </c>
      <c r="L9" s="39" t="s">
        <v>151</v>
      </c>
      <c r="M9" s="39" t="s">
        <v>152</v>
      </c>
      <c r="N9" s="39" t="s">
        <v>153</v>
      </c>
      <c r="O9" s="40" t="s">
        <v>105</v>
      </c>
    </row>
    <row r="10" spans="1:15" ht="124.8" x14ac:dyDescent="0.3">
      <c r="A10" s="37" t="s">
        <v>154</v>
      </c>
      <c r="B10" s="38" t="s">
        <v>128</v>
      </c>
      <c r="C10" s="38" t="s">
        <v>104</v>
      </c>
      <c r="D10" s="38" t="s">
        <v>36</v>
      </c>
      <c r="E10" s="38" t="s">
        <v>155</v>
      </c>
      <c r="F10" s="38" t="s">
        <v>51</v>
      </c>
      <c r="G10" s="39" t="s">
        <v>156</v>
      </c>
      <c r="H10" s="38" t="s">
        <v>109</v>
      </c>
      <c r="I10" s="38" t="s">
        <v>110</v>
      </c>
      <c r="J10" s="38" t="s">
        <v>111</v>
      </c>
      <c r="K10" s="38" t="s">
        <v>132</v>
      </c>
      <c r="L10" s="39" t="s">
        <v>157</v>
      </c>
      <c r="M10" s="39" t="s">
        <v>158</v>
      </c>
      <c r="N10" s="39" t="s">
        <v>159</v>
      </c>
      <c r="O10" s="40" t="s">
        <v>36</v>
      </c>
    </row>
    <row r="11" spans="1:15" ht="124.8" x14ac:dyDescent="0.3">
      <c r="A11" s="37" t="s">
        <v>160</v>
      </c>
      <c r="B11" s="38" t="s">
        <v>128</v>
      </c>
      <c r="C11" s="38" t="s">
        <v>104</v>
      </c>
      <c r="D11" s="38" t="s">
        <v>161</v>
      </c>
      <c r="E11" s="38" t="s">
        <v>155</v>
      </c>
      <c r="F11" s="38" t="s">
        <v>51</v>
      </c>
      <c r="G11" s="39" t="s">
        <v>162</v>
      </c>
      <c r="H11" s="38" t="s">
        <v>109</v>
      </c>
      <c r="I11" s="38" t="s">
        <v>110</v>
      </c>
      <c r="J11" s="38" t="s">
        <v>111</v>
      </c>
      <c r="K11" s="38" t="s">
        <v>112</v>
      </c>
      <c r="L11" s="39" t="s">
        <v>163</v>
      </c>
      <c r="M11" s="39" t="s">
        <v>164</v>
      </c>
      <c r="N11" s="39"/>
      <c r="O11" s="40" t="s">
        <v>165</v>
      </c>
    </row>
    <row r="12" spans="1:15" ht="140.4" x14ac:dyDescent="0.3">
      <c r="A12" s="37" t="s">
        <v>166</v>
      </c>
      <c r="B12" s="38" t="s">
        <v>167</v>
      </c>
      <c r="C12" s="38" t="s">
        <v>104</v>
      </c>
      <c r="D12" s="38" t="s">
        <v>168</v>
      </c>
      <c r="E12" s="38" t="s">
        <v>155</v>
      </c>
      <c r="F12" s="38" t="s">
        <v>51</v>
      </c>
      <c r="G12" s="39" t="s">
        <v>169</v>
      </c>
      <c r="H12" s="38" t="s">
        <v>131</v>
      </c>
      <c r="I12" s="38" t="s">
        <v>110</v>
      </c>
      <c r="J12" s="38" t="s">
        <v>111</v>
      </c>
      <c r="K12" s="38" t="s">
        <v>132</v>
      </c>
      <c r="L12" s="39" t="s">
        <v>170</v>
      </c>
      <c r="M12" s="39" t="s">
        <v>171</v>
      </c>
      <c r="N12" s="39" t="s">
        <v>172</v>
      </c>
      <c r="O12" s="40" t="s">
        <v>168</v>
      </c>
    </row>
    <row r="13" spans="1:15" ht="109.2" x14ac:dyDescent="0.3">
      <c r="A13" s="37" t="s">
        <v>173</v>
      </c>
      <c r="B13" s="38" t="s">
        <v>103</v>
      </c>
      <c r="C13" s="38" t="s">
        <v>104</v>
      </c>
      <c r="D13" s="38" t="s">
        <v>105</v>
      </c>
      <c r="E13" s="38" t="s">
        <v>155</v>
      </c>
      <c r="F13" s="38" t="s">
        <v>174</v>
      </c>
      <c r="G13" s="39" t="s">
        <v>175</v>
      </c>
      <c r="H13" s="38" t="s">
        <v>109</v>
      </c>
      <c r="I13" s="38" t="s">
        <v>110</v>
      </c>
      <c r="J13" s="38" t="s">
        <v>111</v>
      </c>
      <c r="K13" s="38" t="s">
        <v>132</v>
      </c>
      <c r="L13" s="39" t="s">
        <v>176</v>
      </c>
      <c r="M13" s="39" t="s">
        <v>177</v>
      </c>
      <c r="N13" s="39"/>
      <c r="O13" s="40" t="s">
        <v>178</v>
      </c>
    </row>
    <row r="14" spans="1:15" ht="124.8" x14ac:dyDescent="0.3">
      <c r="A14" s="37" t="s">
        <v>179</v>
      </c>
      <c r="B14" s="38" t="s">
        <v>128</v>
      </c>
      <c r="C14" s="38" t="s">
        <v>104</v>
      </c>
      <c r="D14" s="38" t="s">
        <v>36</v>
      </c>
      <c r="E14" s="38" t="s">
        <v>180</v>
      </c>
      <c r="F14" s="38" t="s">
        <v>181</v>
      </c>
      <c r="G14" s="39" t="s">
        <v>182</v>
      </c>
      <c r="H14" s="38" t="s">
        <v>131</v>
      </c>
      <c r="I14" s="38" t="s">
        <v>110</v>
      </c>
      <c r="J14" s="38" t="s">
        <v>111</v>
      </c>
      <c r="K14" s="38" t="s">
        <v>132</v>
      </c>
      <c r="L14" s="39" t="s">
        <v>183</v>
      </c>
      <c r="M14" s="39" t="s">
        <v>184</v>
      </c>
      <c r="N14" s="39"/>
      <c r="O14" s="40" t="s">
        <v>36</v>
      </c>
    </row>
    <row r="15" spans="1:15" ht="124.8" x14ac:dyDescent="0.3">
      <c r="A15" s="37" t="s">
        <v>185</v>
      </c>
      <c r="B15" s="38" t="s">
        <v>128</v>
      </c>
      <c r="C15" s="38" t="s">
        <v>104</v>
      </c>
      <c r="D15" s="38" t="s">
        <v>36</v>
      </c>
      <c r="E15" s="38" t="s">
        <v>186</v>
      </c>
      <c r="F15" s="38" t="s">
        <v>187</v>
      </c>
      <c r="G15" s="39" t="s">
        <v>188</v>
      </c>
      <c r="H15" s="38" t="s">
        <v>131</v>
      </c>
      <c r="I15" s="38" t="s">
        <v>110</v>
      </c>
      <c r="J15" s="38" t="s">
        <v>111</v>
      </c>
      <c r="K15" s="38" t="s">
        <v>132</v>
      </c>
      <c r="L15" s="39" t="s">
        <v>189</v>
      </c>
      <c r="M15" s="39" t="s">
        <v>190</v>
      </c>
      <c r="N15" s="39" t="s">
        <v>191</v>
      </c>
      <c r="O15" s="40" t="s">
        <v>36</v>
      </c>
    </row>
    <row r="16" spans="1:15" ht="109.2" x14ac:dyDescent="0.3">
      <c r="A16" s="37" t="s">
        <v>192</v>
      </c>
      <c r="B16" s="38" t="s">
        <v>128</v>
      </c>
      <c r="C16" s="38" t="s">
        <v>104</v>
      </c>
      <c r="D16" s="38" t="s">
        <v>36</v>
      </c>
      <c r="E16" s="38" t="s">
        <v>193</v>
      </c>
      <c r="F16" s="38" t="s">
        <v>187</v>
      </c>
      <c r="G16" s="39" t="s">
        <v>194</v>
      </c>
      <c r="H16" s="38" t="s">
        <v>131</v>
      </c>
      <c r="I16" s="38" t="s">
        <v>110</v>
      </c>
      <c r="J16" s="38" t="s">
        <v>111</v>
      </c>
      <c r="K16" s="38" t="s">
        <v>132</v>
      </c>
      <c r="L16" s="39" t="s">
        <v>195</v>
      </c>
      <c r="M16" s="39" t="s">
        <v>196</v>
      </c>
      <c r="N16" s="39" t="s">
        <v>197</v>
      </c>
      <c r="O16" s="40" t="s">
        <v>36</v>
      </c>
    </row>
    <row r="17" spans="1:15" ht="93.6" x14ac:dyDescent="0.3">
      <c r="A17" s="37" t="s">
        <v>198</v>
      </c>
      <c r="B17" s="38" t="s">
        <v>128</v>
      </c>
      <c r="C17" s="38" t="s">
        <v>104</v>
      </c>
      <c r="D17" s="38" t="s">
        <v>36</v>
      </c>
      <c r="E17" s="38" t="s">
        <v>186</v>
      </c>
      <c r="F17" s="38" t="s">
        <v>199</v>
      </c>
      <c r="G17" s="39" t="s">
        <v>200</v>
      </c>
      <c r="H17" s="38" t="s">
        <v>131</v>
      </c>
      <c r="I17" s="38" t="s">
        <v>201</v>
      </c>
      <c r="J17" s="38" t="s">
        <v>111</v>
      </c>
      <c r="K17" s="38" t="s">
        <v>202</v>
      </c>
      <c r="L17" s="39" t="s">
        <v>203</v>
      </c>
      <c r="M17" s="39" t="s">
        <v>204</v>
      </c>
      <c r="N17" s="39" t="s">
        <v>205</v>
      </c>
      <c r="O17" s="40" t="s">
        <v>36</v>
      </c>
    </row>
    <row r="18" spans="1:15" ht="109.2" x14ac:dyDescent="0.3">
      <c r="A18" s="37" t="s">
        <v>206</v>
      </c>
      <c r="B18" s="38" t="s">
        <v>128</v>
      </c>
      <c r="C18" s="38" t="s">
        <v>104</v>
      </c>
      <c r="D18" s="38" t="s">
        <v>36</v>
      </c>
      <c r="E18" s="38" t="s">
        <v>193</v>
      </c>
      <c r="F18" s="38" t="s">
        <v>199</v>
      </c>
      <c r="G18" s="39" t="s">
        <v>207</v>
      </c>
      <c r="H18" s="38" t="s">
        <v>131</v>
      </c>
      <c r="I18" s="38" t="s">
        <v>201</v>
      </c>
      <c r="J18" s="38" t="s">
        <v>111</v>
      </c>
      <c r="K18" s="38" t="s">
        <v>202</v>
      </c>
      <c r="L18" s="39" t="s">
        <v>208</v>
      </c>
      <c r="M18" s="39" t="s">
        <v>209</v>
      </c>
      <c r="N18" s="39" t="s">
        <v>210</v>
      </c>
      <c r="O18" s="40" t="s">
        <v>36</v>
      </c>
    </row>
    <row r="19" spans="1:15" ht="156" x14ac:dyDescent="0.3">
      <c r="A19" s="37" t="s">
        <v>211</v>
      </c>
      <c r="B19" s="38" t="s">
        <v>167</v>
      </c>
      <c r="C19" s="38" t="s">
        <v>104</v>
      </c>
      <c r="D19" s="38" t="s">
        <v>212</v>
      </c>
      <c r="E19" s="38" t="s">
        <v>213</v>
      </c>
      <c r="F19" s="38" t="s">
        <v>214</v>
      </c>
      <c r="G19" s="39" t="s">
        <v>215</v>
      </c>
      <c r="H19" s="38" t="s">
        <v>109</v>
      </c>
      <c r="I19" s="38" t="s">
        <v>110</v>
      </c>
      <c r="J19" s="38" t="s">
        <v>111</v>
      </c>
      <c r="K19" s="38" t="s">
        <v>112</v>
      </c>
      <c r="L19" s="39" t="s">
        <v>216</v>
      </c>
      <c r="M19" s="39" t="s">
        <v>217</v>
      </c>
      <c r="N19" s="39" t="s">
        <v>218</v>
      </c>
      <c r="O19" s="40" t="s">
        <v>212</v>
      </c>
    </row>
    <row r="20" spans="1:15" ht="140.4" x14ac:dyDescent="0.3">
      <c r="A20" s="37" t="s">
        <v>219</v>
      </c>
      <c r="B20" s="38" t="s">
        <v>167</v>
      </c>
      <c r="C20" s="38" t="s">
        <v>104</v>
      </c>
      <c r="D20" s="38" t="s">
        <v>212</v>
      </c>
      <c r="E20" s="38" t="s">
        <v>186</v>
      </c>
      <c r="F20" s="38" t="s">
        <v>214</v>
      </c>
      <c r="G20" s="39" t="s">
        <v>220</v>
      </c>
      <c r="H20" s="38" t="s">
        <v>109</v>
      </c>
      <c r="I20" s="38" t="s">
        <v>110</v>
      </c>
      <c r="J20" s="38" t="s">
        <v>111</v>
      </c>
      <c r="K20" s="38" t="s">
        <v>112</v>
      </c>
      <c r="L20" s="39" t="s">
        <v>221</v>
      </c>
      <c r="M20" s="39" t="s">
        <v>222</v>
      </c>
      <c r="N20" s="39" t="s">
        <v>223</v>
      </c>
      <c r="O20" s="40" t="s">
        <v>212</v>
      </c>
    </row>
    <row r="21" spans="1:15" ht="109.2" x14ac:dyDescent="0.3">
      <c r="A21" s="37" t="s">
        <v>224</v>
      </c>
      <c r="B21" s="38" t="s">
        <v>167</v>
      </c>
      <c r="C21" s="38" t="s">
        <v>104</v>
      </c>
      <c r="D21" s="38" t="s">
        <v>225</v>
      </c>
      <c r="E21" s="38" t="s">
        <v>180</v>
      </c>
      <c r="F21" s="38" t="s">
        <v>226</v>
      </c>
      <c r="G21" s="39" t="s">
        <v>227</v>
      </c>
      <c r="H21" s="38" t="s">
        <v>131</v>
      </c>
      <c r="I21" s="38" t="s">
        <v>110</v>
      </c>
      <c r="J21" s="38" t="s">
        <v>111</v>
      </c>
      <c r="K21" s="38" t="s">
        <v>132</v>
      </c>
      <c r="L21" s="39" t="s">
        <v>228</v>
      </c>
      <c r="M21" s="39" t="s">
        <v>229</v>
      </c>
      <c r="N21" s="39"/>
      <c r="O21" s="40" t="s">
        <v>225</v>
      </c>
    </row>
    <row r="22" spans="1:15" ht="93.6" x14ac:dyDescent="0.3">
      <c r="A22" s="37" t="s">
        <v>230</v>
      </c>
      <c r="B22" s="38" t="s">
        <v>128</v>
      </c>
      <c r="C22" s="38" t="s">
        <v>104</v>
      </c>
      <c r="D22" s="38" t="s">
        <v>161</v>
      </c>
      <c r="E22" s="38" t="s">
        <v>213</v>
      </c>
      <c r="F22" s="38" t="s">
        <v>231</v>
      </c>
      <c r="G22" s="39" t="s">
        <v>232</v>
      </c>
      <c r="H22" s="38" t="s">
        <v>131</v>
      </c>
      <c r="I22" s="38" t="s">
        <v>201</v>
      </c>
      <c r="J22" s="38" t="s">
        <v>111</v>
      </c>
      <c r="K22" s="38" t="s">
        <v>233</v>
      </c>
      <c r="L22" s="39" t="s">
        <v>234</v>
      </c>
      <c r="M22" s="39" t="s">
        <v>235</v>
      </c>
      <c r="N22" s="39" t="s">
        <v>236</v>
      </c>
      <c r="O22" s="40" t="s">
        <v>36</v>
      </c>
    </row>
    <row r="23" spans="1:15" ht="109.2" x14ac:dyDescent="0.3">
      <c r="A23" s="37" t="s">
        <v>237</v>
      </c>
      <c r="B23" s="38" t="s">
        <v>128</v>
      </c>
      <c r="C23" s="38" t="s">
        <v>104</v>
      </c>
      <c r="D23" s="38" t="s">
        <v>161</v>
      </c>
      <c r="E23" s="38" t="s">
        <v>186</v>
      </c>
      <c r="F23" s="38" t="s">
        <v>231</v>
      </c>
      <c r="G23" s="39" t="s">
        <v>238</v>
      </c>
      <c r="H23" s="38" t="s">
        <v>131</v>
      </c>
      <c r="I23" s="38" t="s">
        <v>201</v>
      </c>
      <c r="J23" s="38" t="s">
        <v>111</v>
      </c>
      <c r="K23" s="38" t="s">
        <v>233</v>
      </c>
      <c r="L23" s="39" t="s">
        <v>239</v>
      </c>
      <c r="M23" s="39" t="s">
        <v>240</v>
      </c>
      <c r="N23" s="39" t="s">
        <v>241</v>
      </c>
      <c r="O23" s="40" t="s">
        <v>36</v>
      </c>
    </row>
    <row r="24" spans="1:15" ht="140.4" x14ac:dyDescent="0.3">
      <c r="A24" s="37" t="s">
        <v>242</v>
      </c>
      <c r="B24" s="38" t="s">
        <v>167</v>
      </c>
      <c r="C24" s="38" t="s">
        <v>104</v>
      </c>
      <c r="D24" s="38" t="s">
        <v>243</v>
      </c>
      <c r="E24" s="38" t="s">
        <v>155</v>
      </c>
      <c r="F24" s="38" t="s">
        <v>244</v>
      </c>
      <c r="G24" s="39" t="s">
        <v>245</v>
      </c>
      <c r="H24" s="38" t="s">
        <v>131</v>
      </c>
      <c r="I24" s="38" t="s">
        <v>110</v>
      </c>
      <c r="J24" s="38" t="s">
        <v>111</v>
      </c>
      <c r="K24" s="38" t="s">
        <v>132</v>
      </c>
      <c r="L24" s="39" t="s">
        <v>246</v>
      </c>
      <c r="M24" s="39" t="s">
        <v>247</v>
      </c>
      <c r="N24" s="39" t="s">
        <v>248</v>
      </c>
      <c r="O24" s="40" t="s">
        <v>243</v>
      </c>
    </row>
    <row r="25" spans="1:15" ht="109.2" x14ac:dyDescent="0.3">
      <c r="A25" s="37" t="s">
        <v>249</v>
      </c>
      <c r="B25" s="38" t="s">
        <v>167</v>
      </c>
      <c r="C25" s="38" t="s">
        <v>104</v>
      </c>
      <c r="D25" s="38" t="s">
        <v>44</v>
      </c>
      <c r="E25" s="38" t="s">
        <v>155</v>
      </c>
      <c r="F25" s="38" t="s">
        <v>244</v>
      </c>
      <c r="G25" s="39" t="s">
        <v>250</v>
      </c>
      <c r="H25" s="38" t="s">
        <v>131</v>
      </c>
      <c r="I25" s="38" t="s">
        <v>110</v>
      </c>
      <c r="J25" s="38" t="s">
        <v>111</v>
      </c>
      <c r="K25" s="38" t="s">
        <v>132</v>
      </c>
      <c r="L25" s="39" t="s">
        <v>251</v>
      </c>
      <c r="M25" s="39" t="s">
        <v>252</v>
      </c>
      <c r="N25" s="39"/>
      <c r="O25" s="40" t="s">
        <v>253</v>
      </c>
    </row>
    <row r="26" spans="1:15" ht="109.2" x14ac:dyDescent="0.3">
      <c r="A26" s="37" t="s">
        <v>254</v>
      </c>
      <c r="B26" s="38" t="s">
        <v>167</v>
      </c>
      <c r="C26" s="38" t="s">
        <v>104</v>
      </c>
      <c r="D26" s="38" t="s">
        <v>225</v>
      </c>
      <c r="E26" s="38" t="s">
        <v>155</v>
      </c>
      <c r="F26" s="38" t="s">
        <v>244</v>
      </c>
      <c r="G26" s="39" t="s">
        <v>255</v>
      </c>
      <c r="H26" s="38" t="s">
        <v>131</v>
      </c>
      <c r="I26" s="38" t="s">
        <v>201</v>
      </c>
      <c r="J26" s="38" t="s">
        <v>111</v>
      </c>
      <c r="K26" s="38" t="s">
        <v>233</v>
      </c>
      <c r="L26" s="39" t="s">
        <v>256</v>
      </c>
      <c r="M26" s="39" t="s">
        <v>257</v>
      </c>
      <c r="N26" s="39" t="s">
        <v>258</v>
      </c>
      <c r="O26" s="40" t="s">
        <v>259</v>
      </c>
    </row>
    <row r="27" spans="1:15" ht="140.4" x14ac:dyDescent="0.3">
      <c r="A27" s="37" t="s">
        <v>260</v>
      </c>
      <c r="B27" s="38" t="s">
        <v>167</v>
      </c>
      <c r="C27" s="38" t="s">
        <v>104</v>
      </c>
      <c r="D27" s="38" t="s">
        <v>253</v>
      </c>
      <c r="E27" s="38" t="s">
        <v>213</v>
      </c>
      <c r="F27" s="38" t="s">
        <v>261</v>
      </c>
      <c r="G27" s="39" t="s">
        <v>262</v>
      </c>
      <c r="H27" s="38" t="s">
        <v>131</v>
      </c>
      <c r="I27" s="38" t="s">
        <v>110</v>
      </c>
      <c r="J27" s="38" t="s">
        <v>111</v>
      </c>
      <c r="K27" s="38" t="s">
        <v>132</v>
      </c>
      <c r="L27" s="39" t="s">
        <v>263</v>
      </c>
      <c r="M27" s="39" t="s">
        <v>264</v>
      </c>
      <c r="N27" s="39" t="s">
        <v>265</v>
      </c>
      <c r="O27" s="40" t="s">
        <v>44</v>
      </c>
    </row>
    <row r="28" spans="1:15" ht="109.2" x14ac:dyDescent="0.3">
      <c r="A28" s="37" t="s">
        <v>266</v>
      </c>
      <c r="B28" s="38" t="s">
        <v>167</v>
      </c>
      <c r="C28" s="38" t="s">
        <v>104</v>
      </c>
      <c r="D28" s="38" t="s">
        <v>253</v>
      </c>
      <c r="E28" s="38" t="s">
        <v>186</v>
      </c>
      <c r="F28" s="38" t="s">
        <v>261</v>
      </c>
      <c r="G28" s="39" t="s">
        <v>267</v>
      </c>
      <c r="H28" s="38" t="s">
        <v>131</v>
      </c>
      <c r="I28" s="38" t="s">
        <v>110</v>
      </c>
      <c r="J28" s="38" t="s">
        <v>111</v>
      </c>
      <c r="K28" s="38" t="s">
        <v>132</v>
      </c>
      <c r="L28" s="39" t="s">
        <v>268</v>
      </c>
      <c r="M28" s="39" t="s">
        <v>269</v>
      </c>
      <c r="N28" s="39" t="s">
        <v>270</v>
      </c>
      <c r="O28" s="40" t="s">
        <v>44</v>
      </c>
    </row>
    <row r="29" spans="1:15" ht="124.8" x14ac:dyDescent="0.3">
      <c r="A29" s="37" t="s">
        <v>271</v>
      </c>
      <c r="B29" s="38" t="s">
        <v>167</v>
      </c>
      <c r="C29" s="38" t="s">
        <v>104</v>
      </c>
      <c r="D29" s="38" t="s">
        <v>44</v>
      </c>
      <c r="E29" s="38" t="s">
        <v>213</v>
      </c>
      <c r="F29" s="38" t="s">
        <v>261</v>
      </c>
      <c r="G29" s="39" t="s">
        <v>272</v>
      </c>
      <c r="H29" s="38" t="s">
        <v>131</v>
      </c>
      <c r="I29" s="38" t="s">
        <v>110</v>
      </c>
      <c r="J29" s="38" t="s">
        <v>111</v>
      </c>
      <c r="K29" s="38" t="s">
        <v>132</v>
      </c>
      <c r="L29" s="39" t="s">
        <v>273</v>
      </c>
      <c r="M29" s="39" t="s">
        <v>274</v>
      </c>
      <c r="N29" s="39" t="s">
        <v>275</v>
      </c>
      <c r="O29" s="40" t="s">
        <v>44</v>
      </c>
    </row>
    <row r="30" spans="1:15" ht="140.4" x14ac:dyDescent="0.3">
      <c r="A30" s="37" t="s">
        <v>276</v>
      </c>
      <c r="B30" s="38" t="s">
        <v>167</v>
      </c>
      <c r="C30" s="38" t="s">
        <v>104</v>
      </c>
      <c r="D30" s="38" t="s">
        <v>253</v>
      </c>
      <c r="E30" s="38" t="s">
        <v>186</v>
      </c>
      <c r="F30" s="38" t="s">
        <v>261</v>
      </c>
      <c r="G30" s="39" t="s">
        <v>277</v>
      </c>
      <c r="H30" s="38" t="s">
        <v>131</v>
      </c>
      <c r="I30" s="38" t="s">
        <v>110</v>
      </c>
      <c r="J30" s="38" t="s">
        <v>111</v>
      </c>
      <c r="K30" s="38" t="s">
        <v>132</v>
      </c>
      <c r="L30" s="39" t="s">
        <v>278</v>
      </c>
      <c r="M30" s="39" t="s">
        <v>279</v>
      </c>
      <c r="N30" s="39"/>
      <c r="O30" s="40" t="s">
        <v>253</v>
      </c>
    </row>
    <row r="31" spans="1:15" ht="124.8" x14ac:dyDescent="0.3">
      <c r="A31" s="37" t="s">
        <v>280</v>
      </c>
      <c r="B31" s="38" t="s">
        <v>167</v>
      </c>
      <c r="C31" s="38" t="s">
        <v>104</v>
      </c>
      <c r="D31" s="38" t="s">
        <v>243</v>
      </c>
      <c r="E31" s="38" t="s">
        <v>213</v>
      </c>
      <c r="F31" s="38" t="s">
        <v>261</v>
      </c>
      <c r="G31" s="39" t="s">
        <v>281</v>
      </c>
      <c r="H31" s="38" t="s">
        <v>109</v>
      </c>
      <c r="I31" s="38" t="s">
        <v>110</v>
      </c>
      <c r="J31" s="38" t="s">
        <v>111</v>
      </c>
      <c r="K31" s="38" t="s">
        <v>132</v>
      </c>
      <c r="L31" s="39" t="s">
        <v>282</v>
      </c>
      <c r="M31" s="39" t="s">
        <v>283</v>
      </c>
      <c r="N31" s="39" t="s">
        <v>284</v>
      </c>
      <c r="O31" s="40" t="s">
        <v>243</v>
      </c>
    </row>
    <row r="32" spans="1:15" ht="124.8" x14ac:dyDescent="0.3">
      <c r="A32" s="37" t="s">
        <v>285</v>
      </c>
      <c r="B32" s="38" t="s">
        <v>167</v>
      </c>
      <c r="C32" s="38" t="s">
        <v>104</v>
      </c>
      <c r="D32" s="38" t="s">
        <v>243</v>
      </c>
      <c r="E32" s="38" t="s">
        <v>186</v>
      </c>
      <c r="F32" s="38" t="s">
        <v>261</v>
      </c>
      <c r="G32" s="39" t="s">
        <v>286</v>
      </c>
      <c r="H32" s="38" t="s">
        <v>131</v>
      </c>
      <c r="I32" s="38" t="s">
        <v>110</v>
      </c>
      <c r="J32" s="38" t="s">
        <v>111</v>
      </c>
      <c r="K32" s="38" t="s">
        <v>112</v>
      </c>
      <c r="L32" s="39" t="s">
        <v>287</v>
      </c>
      <c r="M32" s="39" t="s">
        <v>288</v>
      </c>
      <c r="N32" s="39" t="s">
        <v>289</v>
      </c>
      <c r="O32" s="40" t="s">
        <v>243</v>
      </c>
    </row>
    <row r="33" spans="1:15" ht="171.6" x14ac:dyDescent="0.3">
      <c r="A33" s="37" t="s">
        <v>290</v>
      </c>
      <c r="B33" s="38" t="s">
        <v>167</v>
      </c>
      <c r="C33" s="38" t="s">
        <v>104</v>
      </c>
      <c r="D33" s="38" t="s">
        <v>225</v>
      </c>
      <c r="E33" s="38" t="s">
        <v>213</v>
      </c>
      <c r="F33" s="38" t="s">
        <v>261</v>
      </c>
      <c r="G33" s="39" t="s">
        <v>291</v>
      </c>
      <c r="H33" s="38" t="s">
        <v>131</v>
      </c>
      <c r="I33" s="38" t="s">
        <v>110</v>
      </c>
      <c r="J33" s="38" t="s">
        <v>111</v>
      </c>
      <c r="K33" s="38" t="s">
        <v>132</v>
      </c>
      <c r="L33" s="39" t="s">
        <v>292</v>
      </c>
      <c r="M33" s="39" t="s">
        <v>293</v>
      </c>
      <c r="N33" s="39" t="s">
        <v>294</v>
      </c>
      <c r="O33" s="40" t="s">
        <v>225</v>
      </c>
    </row>
    <row r="34" spans="1:15" ht="124.8" x14ac:dyDescent="0.3">
      <c r="A34" s="37" t="s">
        <v>295</v>
      </c>
      <c r="B34" s="38" t="s">
        <v>167</v>
      </c>
      <c r="C34" s="38" t="s">
        <v>104</v>
      </c>
      <c r="D34" s="38" t="s">
        <v>225</v>
      </c>
      <c r="E34" s="38" t="s">
        <v>186</v>
      </c>
      <c r="F34" s="38" t="s">
        <v>261</v>
      </c>
      <c r="G34" s="39" t="s">
        <v>296</v>
      </c>
      <c r="H34" s="38" t="s">
        <v>131</v>
      </c>
      <c r="I34" s="38" t="s">
        <v>110</v>
      </c>
      <c r="J34" s="38" t="s">
        <v>111</v>
      </c>
      <c r="K34" s="38" t="s">
        <v>132</v>
      </c>
      <c r="L34" s="39" t="s">
        <v>297</v>
      </c>
      <c r="M34" s="39" t="s">
        <v>298</v>
      </c>
      <c r="N34" s="39" t="s">
        <v>299</v>
      </c>
      <c r="O34" s="40" t="s">
        <v>225</v>
      </c>
    </row>
    <row r="35" spans="1:15" ht="124.8" x14ac:dyDescent="0.3">
      <c r="A35" s="37" t="s">
        <v>300</v>
      </c>
      <c r="B35" s="38" t="s">
        <v>167</v>
      </c>
      <c r="C35" s="38" t="s">
        <v>104</v>
      </c>
      <c r="D35" s="38" t="s">
        <v>168</v>
      </c>
      <c r="E35" s="38" t="s">
        <v>155</v>
      </c>
      <c r="F35" s="38" t="s">
        <v>301</v>
      </c>
      <c r="G35" s="39" t="s">
        <v>302</v>
      </c>
      <c r="H35" s="38" t="s">
        <v>109</v>
      </c>
      <c r="I35" s="38" t="s">
        <v>110</v>
      </c>
      <c r="J35" s="38" t="s">
        <v>111</v>
      </c>
      <c r="K35" s="38" t="s">
        <v>132</v>
      </c>
      <c r="L35" s="39" t="s">
        <v>303</v>
      </c>
      <c r="M35" s="39" t="s">
        <v>304</v>
      </c>
      <c r="N35" s="39" t="s">
        <v>305</v>
      </c>
      <c r="O35" s="40" t="s">
        <v>168</v>
      </c>
    </row>
    <row r="36" spans="1:15" ht="109.2" x14ac:dyDescent="0.3">
      <c r="A36" s="37" t="s">
        <v>306</v>
      </c>
      <c r="B36" s="38" t="s">
        <v>167</v>
      </c>
      <c r="C36" s="38" t="s">
        <v>104</v>
      </c>
      <c r="D36" s="38" t="s">
        <v>225</v>
      </c>
      <c r="E36" s="38" t="s">
        <v>155</v>
      </c>
      <c r="F36" s="38" t="s">
        <v>301</v>
      </c>
      <c r="G36" s="39" t="s">
        <v>307</v>
      </c>
      <c r="H36" s="38" t="s">
        <v>131</v>
      </c>
      <c r="I36" s="38" t="s">
        <v>110</v>
      </c>
      <c r="J36" s="38" t="s">
        <v>111</v>
      </c>
      <c r="K36" s="38" t="s">
        <v>132</v>
      </c>
      <c r="L36" s="39" t="s">
        <v>308</v>
      </c>
      <c r="M36" s="39" t="s">
        <v>309</v>
      </c>
      <c r="N36" s="39"/>
      <c r="O36" s="40" t="s">
        <v>225</v>
      </c>
    </row>
    <row r="37" spans="1:15" ht="124.8" x14ac:dyDescent="0.3">
      <c r="A37" s="37" t="s">
        <v>310</v>
      </c>
      <c r="B37" s="38" t="s">
        <v>167</v>
      </c>
      <c r="C37" s="38" t="s">
        <v>104</v>
      </c>
      <c r="D37" s="38" t="s">
        <v>225</v>
      </c>
      <c r="E37" s="38" t="s">
        <v>155</v>
      </c>
      <c r="F37" s="38" t="s">
        <v>244</v>
      </c>
      <c r="G37" s="39" t="s">
        <v>311</v>
      </c>
      <c r="H37" s="38" t="s">
        <v>131</v>
      </c>
      <c r="I37" s="38" t="s">
        <v>110</v>
      </c>
      <c r="J37" s="38" t="s">
        <v>111</v>
      </c>
      <c r="K37" s="38" t="s">
        <v>144</v>
      </c>
      <c r="L37" s="39" t="s">
        <v>312</v>
      </c>
      <c r="M37" s="39" t="s">
        <v>313</v>
      </c>
      <c r="N37" s="39" t="s">
        <v>314</v>
      </c>
      <c r="O37" s="40" t="s">
        <v>225</v>
      </c>
    </row>
    <row r="38" spans="1:15" ht="171.6" x14ac:dyDescent="0.3">
      <c r="A38" s="37" t="s">
        <v>315</v>
      </c>
      <c r="B38" s="38" t="s">
        <v>103</v>
      </c>
      <c r="C38" s="38" t="s">
        <v>104</v>
      </c>
      <c r="D38" s="38" t="s">
        <v>316</v>
      </c>
      <c r="E38" s="38" t="s">
        <v>155</v>
      </c>
      <c r="F38" s="38" t="s">
        <v>317</v>
      </c>
      <c r="G38" s="39" t="s">
        <v>318</v>
      </c>
      <c r="H38" s="38" t="s">
        <v>131</v>
      </c>
      <c r="I38" s="38" t="s">
        <v>110</v>
      </c>
      <c r="J38" s="38" t="s">
        <v>111</v>
      </c>
      <c r="K38" s="38" t="s">
        <v>233</v>
      </c>
      <c r="L38" s="39" t="s">
        <v>319</v>
      </c>
      <c r="M38" s="39" t="s">
        <v>320</v>
      </c>
      <c r="N38" s="39" t="s">
        <v>321</v>
      </c>
      <c r="O38" s="40" t="s">
        <v>322</v>
      </c>
    </row>
    <row r="39" spans="1:15" ht="171.6" x14ac:dyDescent="0.3">
      <c r="A39" s="37" t="s">
        <v>323</v>
      </c>
      <c r="B39" s="38" t="s">
        <v>167</v>
      </c>
      <c r="C39" s="38" t="s">
        <v>104</v>
      </c>
      <c r="D39" s="38" t="s">
        <v>243</v>
      </c>
      <c r="E39" s="38" t="s">
        <v>155</v>
      </c>
      <c r="F39" s="38" t="s">
        <v>324</v>
      </c>
      <c r="G39" s="39" t="s">
        <v>325</v>
      </c>
      <c r="H39" s="38" t="s">
        <v>131</v>
      </c>
      <c r="I39" s="38" t="s">
        <v>110</v>
      </c>
      <c r="J39" s="38" t="s">
        <v>111</v>
      </c>
      <c r="K39" s="38" t="s">
        <v>112</v>
      </c>
      <c r="L39" s="39" t="s">
        <v>326</v>
      </c>
      <c r="M39" s="39" t="s">
        <v>327</v>
      </c>
      <c r="N39" s="39" t="s">
        <v>328</v>
      </c>
      <c r="O39" s="40" t="s">
        <v>243</v>
      </c>
    </row>
    <row r="40" spans="1:15" ht="140.4" x14ac:dyDescent="0.3">
      <c r="A40" s="37" t="s">
        <v>329</v>
      </c>
      <c r="B40" s="38" t="s">
        <v>167</v>
      </c>
      <c r="C40" s="38" t="s">
        <v>104</v>
      </c>
      <c r="D40" s="38" t="s">
        <v>243</v>
      </c>
      <c r="E40" s="38" t="s">
        <v>155</v>
      </c>
      <c r="F40" s="38" t="s">
        <v>244</v>
      </c>
      <c r="G40" s="39" t="s">
        <v>330</v>
      </c>
      <c r="H40" s="38" t="s">
        <v>131</v>
      </c>
      <c r="I40" s="38" t="s">
        <v>201</v>
      </c>
      <c r="J40" s="38" t="s">
        <v>111</v>
      </c>
      <c r="K40" s="38" t="s">
        <v>132</v>
      </c>
      <c r="L40" s="39" t="s">
        <v>331</v>
      </c>
      <c r="M40" s="39" t="s">
        <v>332</v>
      </c>
      <c r="N40" s="39" t="s">
        <v>333</v>
      </c>
      <c r="O40" s="40" t="s">
        <v>334</v>
      </c>
    </row>
    <row r="41" spans="1:15" ht="171.6" x14ac:dyDescent="0.3">
      <c r="A41" s="37" t="s">
        <v>335</v>
      </c>
      <c r="B41" s="38" t="s">
        <v>167</v>
      </c>
      <c r="C41" s="38" t="s">
        <v>104</v>
      </c>
      <c r="D41" s="38" t="s">
        <v>336</v>
      </c>
      <c r="E41" s="38" t="s">
        <v>106</v>
      </c>
      <c r="F41" s="38" t="s">
        <v>337</v>
      </c>
      <c r="G41" s="39" t="s">
        <v>338</v>
      </c>
      <c r="H41" s="38" t="s">
        <v>131</v>
      </c>
      <c r="I41" s="38" t="s">
        <v>110</v>
      </c>
      <c r="J41" s="38" t="s">
        <v>111</v>
      </c>
      <c r="K41" s="38" t="s">
        <v>112</v>
      </c>
      <c r="L41" s="39" t="s">
        <v>339</v>
      </c>
      <c r="M41" s="39" t="s">
        <v>340</v>
      </c>
      <c r="N41" s="39"/>
      <c r="O41" s="40" t="s">
        <v>40</v>
      </c>
    </row>
    <row r="42" spans="1:15" ht="140.4" x14ac:dyDescent="0.3">
      <c r="A42" s="37" t="s">
        <v>341</v>
      </c>
      <c r="B42" s="38" t="s">
        <v>103</v>
      </c>
      <c r="C42" s="38" t="s">
        <v>104</v>
      </c>
      <c r="D42" s="38" t="s">
        <v>342</v>
      </c>
      <c r="E42" s="38" t="s">
        <v>155</v>
      </c>
      <c r="F42" s="38" t="s">
        <v>343</v>
      </c>
      <c r="G42" s="39" t="s">
        <v>344</v>
      </c>
      <c r="H42" s="38" t="s">
        <v>131</v>
      </c>
      <c r="I42" s="38" t="s">
        <v>110</v>
      </c>
      <c r="J42" s="38" t="s">
        <v>111</v>
      </c>
      <c r="K42" s="38" t="s">
        <v>132</v>
      </c>
      <c r="L42" s="39" t="s">
        <v>345</v>
      </c>
      <c r="M42" s="39" t="s">
        <v>346</v>
      </c>
      <c r="N42" s="39" t="s">
        <v>347</v>
      </c>
      <c r="O42" s="40" t="s">
        <v>348</v>
      </c>
    </row>
    <row r="43" spans="1:15" ht="156" x14ac:dyDescent="0.3">
      <c r="A43" s="37" t="s">
        <v>349</v>
      </c>
      <c r="B43" s="38" t="s">
        <v>103</v>
      </c>
      <c r="C43" s="38" t="s">
        <v>104</v>
      </c>
      <c r="D43" s="38" t="s">
        <v>350</v>
      </c>
      <c r="E43" s="38" t="s">
        <v>351</v>
      </c>
      <c r="F43" s="38" t="s">
        <v>352</v>
      </c>
      <c r="G43" s="39" t="s">
        <v>353</v>
      </c>
      <c r="H43" s="38" t="s">
        <v>131</v>
      </c>
      <c r="I43" s="38" t="s">
        <v>110</v>
      </c>
      <c r="J43" s="38" t="s">
        <v>111</v>
      </c>
      <c r="K43" s="38" t="s">
        <v>144</v>
      </c>
      <c r="L43" s="39" t="s">
        <v>354</v>
      </c>
      <c r="M43" s="39" t="s">
        <v>355</v>
      </c>
      <c r="N43" s="39" t="s">
        <v>356</v>
      </c>
      <c r="O43" s="40" t="s">
        <v>350</v>
      </c>
    </row>
    <row r="44" spans="1:15" ht="140.4" x14ac:dyDescent="0.3">
      <c r="A44" s="37" t="s">
        <v>357</v>
      </c>
      <c r="B44" s="38" t="s">
        <v>128</v>
      </c>
      <c r="C44" s="38" t="s">
        <v>104</v>
      </c>
      <c r="D44" s="38" t="s">
        <v>161</v>
      </c>
      <c r="E44" s="38" t="s">
        <v>186</v>
      </c>
      <c r="F44" s="38" t="s">
        <v>358</v>
      </c>
      <c r="G44" s="39" t="s">
        <v>359</v>
      </c>
      <c r="H44" s="38" t="s">
        <v>109</v>
      </c>
      <c r="I44" s="38" t="s">
        <v>110</v>
      </c>
      <c r="J44" s="38" t="s">
        <v>111</v>
      </c>
      <c r="K44" s="38" t="s">
        <v>132</v>
      </c>
      <c r="L44" s="39" t="s">
        <v>360</v>
      </c>
      <c r="M44" s="39" t="s">
        <v>361</v>
      </c>
      <c r="N44" s="39" t="s">
        <v>362</v>
      </c>
      <c r="O44" s="40" t="s">
        <v>363</v>
      </c>
    </row>
    <row r="45" spans="1:15" ht="124.8" x14ac:dyDescent="0.3">
      <c r="A45" s="37" t="s">
        <v>364</v>
      </c>
      <c r="B45" s="38" t="s">
        <v>128</v>
      </c>
      <c r="C45" s="38" t="s">
        <v>104</v>
      </c>
      <c r="D45" s="38" t="s">
        <v>161</v>
      </c>
      <c r="E45" s="38" t="s">
        <v>193</v>
      </c>
      <c r="F45" s="38" t="s">
        <v>358</v>
      </c>
      <c r="G45" s="39" t="s">
        <v>365</v>
      </c>
      <c r="H45" s="38" t="s">
        <v>109</v>
      </c>
      <c r="I45" s="38" t="s">
        <v>110</v>
      </c>
      <c r="J45" s="38" t="s">
        <v>111</v>
      </c>
      <c r="K45" s="38" t="s">
        <v>132</v>
      </c>
      <c r="L45" s="39" t="s">
        <v>366</v>
      </c>
      <c r="M45" s="39" t="s">
        <v>367</v>
      </c>
      <c r="N45" s="39" t="s">
        <v>368</v>
      </c>
      <c r="O45" s="40" t="s">
        <v>363</v>
      </c>
    </row>
    <row r="46" spans="1:15" ht="93.6" x14ac:dyDescent="0.3">
      <c r="A46" s="37" t="s">
        <v>369</v>
      </c>
      <c r="B46" s="38" t="s">
        <v>128</v>
      </c>
      <c r="C46" s="38" t="s">
        <v>104</v>
      </c>
      <c r="D46" s="38" t="s">
        <v>161</v>
      </c>
      <c r="E46" s="38" t="s">
        <v>370</v>
      </c>
      <c r="F46" s="38" t="s">
        <v>371</v>
      </c>
      <c r="G46" s="39" t="s">
        <v>372</v>
      </c>
      <c r="H46" s="38" t="s">
        <v>131</v>
      </c>
      <c r="I46" s="38" t="s">
        <v>110</v>
      </c>
      <c r="J46" s="38" t="s">
        <v>111</v>
      </c>
      <c r="K46" s="38" t="s">
        <v>373</v>
      </c>
      <c r="L46" s="39" t="s">
        <v>374</v>
      </c>
      <c r="M46" s="39" t="s">
        <v>375</v>
      </c>
      <c r="N46" s="39" t="s">
        <v>376</v>
      </c>
      <c r="O46" s="40" t="s">
        <v>36</v>
      </c>
    </row>
    <row r="47" spans="1:15" ht="109.2" x14ac:dyDescent="0.3">
      <c r="A47" s="37" t="s">
        <v>377</v>
      </c>
      <c r="B47" s="38" t="s">
        <v>167</v>
      </c>
      <c r="C47" s="38" t="s">
        <v>104</v>
      </c>
      <c r="D47" s="38" t="s">
        <v>225</v>
      </c>
      <c r="E47" s="38" t="s">
        <v>370</v>
      </c>
      <c r="F47" s="38" t="s">
        <v>378</v>
      </c>
      <c r="G47" s="39" t="s">
        <v>379</v>
      </c>
      <c r="H47" s="38" t="s">
        <v>109</v>
      </c>
      <c r="I47" s="38" t="s">
        <v>110</v>
      </c>
      <c r="J47" s="38" t="s">
        <v>111</v>
      </c>
      <c r="K47" s="38" t="s">
        <v>373</v>
      </c>
      <c r="L47" s="39" t="s">
        <v>380</v>
      </c>
      <c r="M47" s="39" t="s">
        <v>381</v>
      </c>
      <c r="N47" s="39"/>
      <c r="O47" s="40" t="s">
        <v>225</v>
      </c>
    </row>
    <row r="48" spans="1:15" ht="124.8" x14ac:dyDescent="0.3">
      <c r="A48" s="37" t="s">
        <v>382</v>
      </c>
      <c r="B48" s="38" t="s">
        <v>167</v>
      </c>
      <c r="C48" s="38" t="s">
        <v>104</v>
      </c>
      <c r="D48" s="38" t="s">
        <v>225</v>
      </c>
      <c r="E48" s="38" t="s">
        <v>351</v>
      </c>
      <c r="F48" s="38" t="s">
        <v>383</v>
      </c>
      <c r="G48" s="39" t="s">
        <v>384</v>
      </c>
      <c r="H48" s="38" t="s">
        <v>109</v>
      </c>
      <c r="I48" s="38" t="s">
        <v>110</v>
      </c>
      <c r="J48" s="38" t="s">
        <v>111</v>
      </c>
      <c r="K48" s="38" t="s">
        <v>112</v>
      </c>
      <c r="L48" s="39" t="s">
        <v>385</v>
      </c>
      <c r="M48" s="39" t="s">
        <v>386</v>
      </c>
      <c r="N48" s="39" t="s">
        <v>387</v>
      </c>
      <c r="O48" s="40" t="s">
        <v>388</v>
      </c>
    </row>
    <row r="49" spans="1:15" ht="109.2" x14ac:dyDescent="0.3">
      <c r="A49" s="37" t="s">
        <v>389</v>
      </c>
      <c r="B49" s="38" t="s">
        <v>167</v>
      </c>
      <c r="C49" s="38" t="s">
        <v>104</v>
      </c>
      <c r="D49" s="38" t="s">
        <v>225</v>
      </c>
      <c r="E49" s="38" t="s">
        <v>390</v>
      </c>
      <c r="F49" s="38" t="s">
        <v>352</v>
      </c>
      <c r="G49" s="39" t="s">
        <v>391</v>
      </c>
      <c r="H49" s="38" t="s">
        <v>109</v>
      </c>
      <c r="I49" s="38" t="s">
        <v>110</v>
      </c>
      <c r="J49" s="38" t="s">
        <v>111</v>
      </c>
      <c r="K49" s="38" t="s">
        <v>144</v>
      </c>
      <c r="L49" s="39" t="s">
        <v>392</v>
      </c>
      <c r="M49" s="39" t="s">
        <v>393</v>
      </c>
      <c r="N49" s="39" t="s">
        <v>394</v>
      </c>
      <c r="O49" s="40" t="s">
        <v>225</v>
      </c>
    </row>
    <row r="50" spans="1:15" ht="124.8" x14ac:dyDescent="0.3">
      <c r="A50" s="41" t="s">
        <v>395</v>
      </c>
      <c r="B50" s="42" t="s">
        <v>128</v>
      </c>
      <c r="C50" s="42" t="s">
        <v>104</v>
      </c>
      <c r="D50" s="42" t="s">
        <v>350</v>
      </c>
      <c r="E50" s="42" t="s">
        <v>57</v>
      </c>
      <c r="F50" s="42" t="s">
        <v>351</v>
      </c>
      <c r="G50" s="43" t="s">
        <v>396</v>
      </c>
      <c r="H50" s="42" t="s">
        <v>131</v>
      </c>
      <c r="I50" s="42" t="s">
        <v>201</v>
      </c>
      <c r="J50" s="42" t="s">
        <v>111</v>
      </c>
      <c r="K50" s="42" t="s">
        <v>202</v>
      </c>
      <c r="L50" s="43" t="s">
        <v>397</v>
      </c>
      <c r="M50" s="43" t="s">
        <v>398</v>
      </c>
      <c r="N50" s="43" t="s">
        <v>399</v>
      </c>
      <c r="O50" s="44" t="s">
        <v>400</v>
      </c>
    </row>
  </sheetData>
  <mergeCells count="1">
    <mergeCell ref="A1:O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4"/>
  <sheetViews>
    <sheetView showGridLines="0" zoomScaleNormal="100" workbookViewId="0">
      <pane ySplit="2" topLeftCell="A7" activePane="bottomLeft" state="frozen"/>
      <selection pane="bottomLeft" activeCell="D11" sqref="D11:D15"/>
    </sheetView>
  </sheetViews>
  <sheetFormatPr defaultColWidth="8.6640625" defaultRowHeight="21" customHeight="1" x14ac:dyDescent="0.3"/>
  <cols>
    <col min="1" max="1" width="22.44140625" bestFit="1" customWidth="1"/>
    <col min="2" max="2" width="22" customWidth="1"/>
    <col min="3" max="3" width="28" customWidth="1"/>
    <col min="4" max="4" width="131.5546875" style="29" bestFit="1" customWidth="1"/>
  </cols>
  <sheetData>
    <row r="1" spans="1:4" ht="21" customHeight="1" x14ac:dyDescent="0.3">
      <c r="A1" s="92" t="s">
        <v>74</v>
      </c>
      <c r="B1" s="93"/>
      <c r="C1" s="93"/>
      <c r="D1" s="93"/>
    </row>
    <row r="2" spans="1:4" s="47" customFormat="1" ht="21" customHeight="1" x14ac:dyDescent="0.35">
      <c r="A2" s="45" t="s">
        <v>401</v>
      </c>
      <c r="B2" s="46" t="s">
        <v>47</v>
      </c>
      <c r="C2" s="46" t="s">
        <v>402</v>
      </c>
      <c r="D2" s="54" t="s">
        <v>403</v>
      </c>
    </row>
    <row r="3" spans="1:4" ht="21" customHeight="1" x14ac:dyDescent="0.3">
      <c r="A3" s="55" t="s">
        <v>404</v>
      </c>
      <c r="B3" s="56" t="s">
        <v>351</v>
      </c>
      <c r="C3" s="56" t="s">
        <v>405</v>
      </c>
      <c r="D3" s="57" t="s">
        <v>406</v>
      </c>
    </row>
    <row r="4" spans="1:4" ht="21" customHeight="1" x14ac:dyDescent="0.3">
      <c r="A4" s="55" t="s">
        <v>404</v>
      </c>
      <c r="B4" s="56" t="s">
        <v>351</v>
      </c>
      <c r="C4" s="56" t="s">
        <v>383</v>
      </c>
      <c r="D4" s="57" t="s">
        <v>407</v>
      </c>
    </row>
    <row r="5" spans="1:4" ht="21" customHeight="1" x14ac:dyDescent="0.3">
      <c r="A5" s="55" t="s">
        <v>404</v>
      </c>
      <c r="B5" s="56" t="s">
        <v>351</v>
      </c>
      <c r="C5" s="56" t="s">
        <v>383</v>
      </c>
      <c r="D5" s="57" t="s">
        <v>408</v>
      </c>
    </row>
    <row r="6" spans="1:4" ht="21" customHeight="1" x14ac:dyDescent="0.3">
      <c r="A6" s="55" t="s">
        <v>404</v>
      </c>
      <c r="B6" s="56" t="s">
        <v>351</v>
      </c>
      <c r="C6" s="56" t="s">
        <v>409</v>
      </c>
      <c r="D6" s="57" t="s">
        <v>410</v>
      </c>
    </row>
    <row r="7" spans="1:4" ht="21" customHeight="1" x14ac:dyDescent="0.3">
      <c r="A7" s="55" t="s">
        <v>404</v>
      </c>
      <c r="B7" s="56" t="s">
        <v>390</v>
      </c>
      <c r="C7" s="56" t="s">
        <v>411</v>
      </c>
      <c r="D7" s="57" t="s">
        <v>412</v>
      </c>
    </row>
    <row r="8" spans="1:4" ht="21" customHeight="1" x14ac:dyDescent="0.3">
      <c r="A8" s="55" t="s">
        <v>404</v>
      </c>
      <c r="B8" s="56" t="s">
        <v>390</v>
      </c>
      <c r="C8" s="56" t="s">
        <v>413</v>
      </c>
      <c r="D8" s="57" t="s">
        <v>414</v>
      </c>
    </row>
    <row r="9" spans="1:4" ht="21" customHeight="1" x14ac:dyDescent="0.3">
      <c r="A9" s="55" t="s">
        <v>404</v>
      </c>
      <c r="B9" s="56" t="s">
        <v>390</v>
      </c>
      <c r="C9" s="56" t="s">
        <v>415</v>
      </c>
      <c r="D9" s="57" t="s">
        <v>416</v>
      </c>
    </row>
    <row r="10" spans="1:4" ht="21" customHeight="1" x14ac:dyDescent="0.3">
      <c r="A10" s="55" t="s">
        <v>404</v>
      </c>
      <c r="B10" s="56" t="s">
        <v>390</v>
      </c>
      <c r="C10" s="56" t="s">
        <v>415</v>
      </c>
      <c r="D10" s="57" t="s">
        <v>417</v>
      </c>
    </row>
    <row r="11" spans="1:4" ht="21" customHeight="1" x14ac:dyDescent="0.3">
      <c r="A11" s="55" t="s">
        <v>404</v>
      </c>
      <c r="B11" s="56" t="s">
        <v>390</v>
      </c>
      <c r="C11" s="56" t="s">
        <v>352</v>
      </c>
      <c r="D11" s="57" t="s">
        <v>418</v>
      </c>
    </row>
    <row r="12" spans="1:4" ht="21" customHeight="1" x14ac:dyDescent="0.3">
      <c r="A12" s="55" t="s">
        <v>419</v>
      </c>
      <c r="B12" s="56" t="s">
        <v>106</v>
      </c>
      <c r="C12" s="56" t="s">
        <v>122</v>
      </c>
      <c r="D12" s="57" t="s">
        <v>420</v>
      </c>
    </row>
    <row r="13" spans="1:4" ht="21" customHeight="1" x14ac:dyDescent="0.3">
      <c r="A13" s="55" t="s">
        <v>419</v>
      </c>
      <c r="B13" s="56" t="s">
        <v>106</v>
      </c>
      <c r="C13" s="56" t="s">
        <v>421</v>
      </c>
      <c r="D13" s="57" t="s">
        <v>422</v>
      </c>
    </row>
    <row r="14" spans="1:4" ht="21" customHeight="1" x14ac:dyDescent="0.3">
      <c r="A14" s="55" t="s">
        <v>419</v>
      </c>
      <c r="B14" s="56" t="s">
        <v>106</v>
      </c>
      <c r="C14" s="56" t="s">
        <v>423</v>
      </c>
      <c r="D14" s="57" t="s">
        <v>424</v>
      </c>
    </row>
    <row r="15" spans="1:4" ht="21" customHeight="1" x14ac:dyDescent="0.3">
      <c r="A15" s="55" t="s">
        <v>419</v>
      </c>
      <c r="B15" s="56" t="s">
        <v>106</v>
      </c>
      <c r="C15" s="56" t="s">
        <v>137</v>
      </c>
      <c r="D15" s="57" t="s">
        <v>425</v>
      </c>
    </row>
    <row r="16" spans="1:4" ht="21" customHeight="1" x14ac:dyDescent="0.3">
      <c r="A16" s="55" t="s">
        <v>426</v>
      </c>
      <c r="B16" s="56" t="s">
        <v>155</v>
      </c>
      <c r="C16" s="56" t="s">
        <v>51</v>
      </c>
      <c r="D16" s="57" t="s">
        <v>427</v>
      </c>
    </row>
    <row r="17" spans="1:4" ht="21" customHeight="1" x14ac:dyDescent="0.3">
      <c r="A17" s="55" t="s">
        <v>426</v>
      </c>
      <c r="B17" s="56" t="s">
        <v>155</v>
      </c>
      <c r="C17" s="56" t="s">
        <v>174</v>
      </c>
      <c r="D17" s="57" t="s">
        <v>428</v>
      </c>
    </row>
    <row r="18" spans="1:4" ht="21" customHeight="1" x14ac:dyDescent="0.3">
      <c r="A18" s="55" t="s">
        <v>426</v>
      </c>
      <c r="B18" s="56" t="s">
        <v>429</v>
      </c>
      <c r="C18" s="56" t="s">
        <v>430</v>
      </c>
      <c r="D18" s="57" t="s">
        <v>431</v>
      </c>
    </row>
    <row r="19" spans="1:4" ht="21" customHeight="1" x14ac:dyDescent="0.3">
      <c r="A19" s="55" t="s">
        <v>426</v>
      </c>
      <c r="B19" s="56" t="s">
        <v>429</v>
      </c>
      <c r="C19" s="56" t="s">
        <v>432</v>
      </c>
      <c r="D19" s="57" t="s">
        <v>433</v>
      </c>
    </row>
    <row r="20" spans="1:4" ht="21" customHeight="1" x14ac:dyDescent="0.3">
      <c r="A20" s="55" t="s">
        <v>426</v>
      </c>
      <c r="B20" s="56" t="s">
        <v>180</v>
      </c>
      <c r="C20" s="56" t="s">
        <v>226</v>
      </c>
      <c r="D20" s="57" t="s">
        <v>434</v>
      </c>
    </row>
    <row r="21" spans="1:4" ht="21" customHeight="1" x14ac:dyDescent="0.3">
      <c r="A21" s="55" t="s">
        <v>426</v>
      </c>
      <c r="B21" s="56" t="s">
        <v>180</v>
      </c>
      <c r="C21" s="56" t="s">
        <v>181</v>
      </c>
      <c r="D21" s="57" t="s">
        <v>435</v>
      </c>
    </row>
    <row r="22" spans="1:4" ht="21" customHeight="1" x14ac:dyDescent="0.3">
      <c r="A22" s="55" t="s">
        <v>436</v>
      </c>
      <c r="B22" s="56" t="s">
        <v>437</v>
      </c>
      <c r="C22" s="56" t="s">
        <v>438</v>
      </c>
      <c r="D22" s="57" t="s">
        <v>439</v>
      </c>
    </row>
    <row r="23" spans="1:4" ht="21" customHeight="1" x14ac:dyDescent="0.3">
      <c r="A23" s="55" t="s">
        <v>436</v>
      </c>
      <c r="B23" s="56" t="s">
        <v>437</v>
      </c>
      <c r="C23" s="56" t="s">
        <v>438</v>
      </c>
      <c r="D23" s="57" t="s">
        <v>440</v>
      </c>
    </row>
    <row r="24" spans="1:4" ht="21" customHeight="1" x14ac:dyDescent="0.3">
      <c r="A24" s="55" t="s">
        <v>436</v>
      </c>
      <c r="B24" s="56" t="s">
        <v>214</v>
      </c>
      <c r="C24" s="56" t="s">
        <v>441</v>
      </c>
      <c r="D24" s="57" t="s">
        <v>442</v>
      </c>
    </row>
    <row r="25" spans="1:4" ht="21" customHeight="1" x14ac:dyDescent="0.3">
      <c r="A25" s="55" t="s">
        <v>436</v>
      </c>
      <c r="B25" s="56" t="s">
        <v>443</v>
      </c>
      <c r="C25" s="56" t="s">
        <v>444</v>
      </c>
      <c r="D25" s="57" t="s">
        <v>445</v>
      </c>
    </row>
    <row r="26" spans="1:4" ht="21" customHeight="1" x14ac:dyDescent="0.3">
      <c r="A26" s="55" t="s">
        <v>436</v>
      </c>
      <c r="B26" s="56" t="s">
        <v>443</v>
      </c>
      <c r="C26" s="56" t="s">
        <v>446</v>
      </c>
      <c r="D26" s="57" t="s">
        <v>447</v>
      </c>
    </row>
    <row r="27" spans="1:4" ht="21" customHeight="1" x14ac:dyDescent="0.3">
      <c r="A27" s="55" t="s">
        <v>448</v>
      </c>
      <c r="B27" s="56" t="s">
        <v>449</v>
      </c>
      <c r="C27" s="56" t="s">
        <v>450</v>
      </c>
      <c r="D27" s="57" t="s">
        <v>451</v>
      </c>
    </row>
    <row r="28" spans="1:4" ht="21" customHeight="1" x14ac:dyDescent="0.3">
      <c r="A28" s="55" t="s">
        <v>448</v>
      </c>
      <c r="B28" s="56" t="s">
        <v>449</v>
      </c>
      <c r="C28" s="56" t="s">
        <v>231</v>
      </c>
      <c r="D28" s="57" t="s">
        <v>452</v>
      </c>
    </row>
    <row r="29" spans="1:4" ht="21" customHeight="1" x14ac:dyDescent="0.3">
      <c r="A29" s="55" t="s">
        <v>448</v>
      </c>
      <c r="B29" s="56" t="s">
        <v>449</v>
      </c>
      <c r="C29" s="56" t="s">
        <v>214</v>
      </c>
      <c r="D29" s="57" t="s">
        <v>453</v>
      </c>
    </row>
    <row r="30" spans="1:4" ht="21" customHeight="1" x14ac:dyDescent="0.3">
      <c r="A30" s="55" t="s">
        <v>454</v>
      </c>
      <c r="B30" s="56" t="s">
        <v>455</v>
      </c>
      <c r="C30" s="56" t="s">
        <v>199</v>
      </c>
      <c r="D30" s="57" t="s">
        <v>456</v>
      </c>
    </row>
    <row r="31" spans="1:4" ht="21" customHeight="1" x14ac:dyDescent="0.3">
      <c r="A31" s="55" t="s">
        <v>454</v>
      </c>
      <c r="B31" s="56" t="s">
        <v>455</v>
      </c>
      <c r="C31" s="56" t="s">
        <v>358</v>
      </c>
      <c r="D31" s="57" t="s">
        <v>457</v>
      </c>
    </row>
    <row r="32" spans="1:4" ht="21" customHeight="1" x14ac:dyDescent="0.3">
      <c r="A32" s="55" t="s">
        <v>458</v>
      </c>
      <c r="B32" s="56" t="s">
        <v>458</v>
      </c>
      <c r="C32" s="56" t="s">
        <v>459</v>
      </c>
      <c r="D32" s="57" t="s">
        <v>460</v>
      </c>
    </row>
    <row r="33" spans="1:4" ht="21" customHeight="1" x14ac:dyDescent="0.3">
      <c r="A33" s="55" t="s">
        <v>458</v>
      </c>
      <c r="B33" s="56" t="s">
        <v>458</v>
      </c>
      <c r="C33" s="56" t="s">
        <v>461</v>
      </c>
      <c r="D33" s="57" t="s">
        <v>462</v>
      </c>
    </row>
    <row r="34" spans="1:4" ht="21" customHeight="1" x14ac:dyDescent="0.3">
      <c r="A34" s="55" t="s">
        <v>458</v>
      </c>
      <c r="B34" s="56" t="s">
        <v>458</v>
      </c>
      <c r="C34" s="56" t="s">
        <v>463</v>
      </c>
      <c r="D34" s="57" t="s">
        <v>464</v>
      </c>
    </row>
    <row r="35" spans="1:4" ht="21" customHeight="1" x14ac:dyDescent="0.3">
      <c r="A35" s="55" t="s">
        <v>465</v>
      </c>
      <c r="B35" s="56" t="s">
        <v>465</v>
      </c>
      <c r="C35" s="56" t="s">
        <v>466</v>
      </c>
      <c r="D35" s="57" t="s">
        <v>467</v>
      </c>
    </row>
    <row r="36" spans="1:4" ht="21" customHeight="1" x14ac:dyDescent="0.3">
      <c r="A36" s="55" t="s">
        <v>465</v>
      </c>
      <c r="B36" s="56" t="s">
        <v>465</v>
      </c>
      <c r="C36" s="56" t="s">
        <v>468</v>
      </c>
      <c r="D36" s="57" t="s">
        <v>469</v>
      </c>
    </row>
    <row r="37" spans="1:4" ht="21" customHeight="1" x14ac:dyDescent="0.3">
      <c r="A37" s="55" t="s">
        <v>465</v>
      </c>
      <c r="B37" s="56" t="s">
        <v>465</v>
      </c>
      <c r="C37" s="56" t="s">
        <v>470</v>
      </c>
      <c r="D37" s="57" t="s">
        <v>471</v>
      </c>
    </row>
    <row r="38" spans="1:4" ht="21" customHeight="1" x14ac:dyDescent="0.3">
      <c r="A38" s="55" t="s">
        <v>465</v>
      </c>
      <c r="B38" s="56" t="s">
        <v>465</v>
      </c>
      <c r="C38" s="56" t="s">
        <v>472</v>
      </c>
      <c r="D38" s="57" t="s">
        <v>473</v>
      </c>
    </row>
    <row r="39" spans="1:4" ht="21" customHeight="1" x14ac:dyDescent="0.3">
      <c r="A39" s="55" t="s">
        <v>474</v>
      </c>
      <c r="B39" s="56" t="s">
        <v>474</v>
      </c>
      <c r="C39" s="56" t="s">
        <v>475</v>
      </c>
      <c r="D39" s="57" t="s">
        <v>476</v>
      </c>
    </row>
    <row r="40" spans="1:4" ht="21" customHeight="1" x14ac:dyDescent="0.3">
      <c r="A40" s="55" t="s">
        <v>474</v>
      </c>
      <c r="B40" s="56" t="s">
        <v>474</v>
      </c>
      <c r="C40" s="56" t="s">
        <v>477</v>
      </c>
      <c r="D40" s="57" t="s">
        <v>478</v>
      </c>
    </row>
    <row r="41" spans="1:4" ht="21" customHeight="1" x14ac:dyDescent="0.3">
      <c r="A41" s="55" t="s">
        <v>474</v>
      </c>
      <c r="B41" s="56" t="s">
        <v>474</v>
      </c>
      <c r="C41" s="56" t="s">
        <v>479</v>
      </c>
      <c r="D41" s="57" t="s">
        <v>480</v>
      </c>
    </row>
    <row r="42" spans="1:4" ht="21" customHeight="1" x14ac:dyDescent="0.3">
      <c r="A42" s="55" t="s">
        <v>481</v>
      </c>
      <c r="B42" s="56" t="s">
        <v>481</v>
      </c>
      <c r="C42" s="56" t="s">
        <v>482</v>
      </c>
      <c r="D42" s="57" t="s">
        <v>483</v>
      </c>
    </row>
    <row r="43" spans="1:4" ht="21" customHeight="1" x14ac:dyDescent="0.3">
      <c r="A43" s="55" t="s">
        <v>481</v>
      </c>
      <c r="B43" s="56" t="s">
        <v>481</v>
      </c>
      <c r="C43" s="56" t="s">
        <v>484</v>
      </c>
      <c r="D43" s="57" t="s">
        <v>485</v>
      </c>
    </row>
    <row r="44" spans="1:4" ht="21" customHeight="1" x14ac:dyDescent="0.3">
      <c r="A44" s="55" t="s">
        <v>481</v>
      </c>
      <c r="B44" s="56" t="s">
        <v>481</v>
      </c>
      <c r="C44" s="56" t="s">
        <v>486</v>
      </c>
      <c r="D44" s="57" t="s">
        <v>487</v>
      </c>
    </row>
    <row r="45" spans="1:4" ht="21" customHeight="1" x14ac:dyDescent="0.3">
      <c r="A45" s="55" t="s">
        <v>61</v>
      </c>
      <c r="B45" s="56" t="s">
        <v>61</v>
      </c>
      <c r="C45" s="56" t="s">
        <v>488</v>
      </c>
      <c r="D45" s="57" t="s">
        <v>489</v>
      </c>
    </row>
    <row r="46" spans="1:4" ht="21" customHeight="1" x14ac:dyDescent="0.3">
      <c r="A46" s="55" t="s">
        <v>61</v>
      </c>
      <c r="B46" s="56" t="s">
        <v>61</v>
      </c>
      <c r="C46" s="56" t="s">
        <v>490</v>
      </c>
      <c r="D46" s="57" t="s">
        <v>491</v>
      </c>
    </row>
    <row r="47" spans="1:4" ht="21" customHeight="1" x14ac:dyDescent="0.3">
      <c r="A47" s="55" t="s">
        <v>492</v>
      </c>
      <c r="B47" s="56" t="s">
        <v>492</v>
      </c>
      <c r="C47" s="56" t="s">
        <v>493</v>
      </c>
      <c r="D47" s="57" t="s">
        <v>494</v>
      </c>
    </row>
    <row r="48" spans="1:4" ht="21" customHeight="1" x14ac:dyDescent="0.3">
      <c r="A48" s="55" t="s">
        <v>492</v>
      </c>
      <c r="B48" s="56" t="s">
        <v>492</v>
      </c>
      <c r="C48" s="56" t="s">
        <v>495</v>
      </c>
      <c r="D48" s="57" t="s">
        <v>496</v>
      </c>
    </row>
    <row r="49" spans="1:4" ht="21" customHeight="1" x14ac:dyDescent="0.3">
      <c r="A49" s="55" t="s">
        <v>492</v>
      </c>
      <c r="B49" s="56" t="s">
        <v>492</v>
      </c>
      <c r="C49" s="56" t="s">
        <v>497</v>
      </c>
      <c r="D49" s="57" t="s">
        <v>498</v>
      </c>
    </row>
    <row r="50" spans="1:4" ht="21" customHeight="1" x14ac:dyDescent="0.3">
      <c r="A50" s="55" t="s">
        <v>57</v>
      </c>
      <c r="B50" s="56" t="s">
        <v>57</v>
      </c>
      <c r="C50" s="56" t="s">
        <v>499</v>
      </c>
      <c r="D50" s="57" t="s">
        <v>500</v>
      </c>
    </row>
    <row r="51" spans="1:4" ht="21" customHeight="1" x14ac:dyDescent="0.3">
      <c r="A51" s="55" t="s">
        <v>57</v>
      </c>
      <c r="B51" s="56" t="s">
        <v>57</v>
      </c>
      <c r="C51" s="56" t="s">
        <v>501</v>
      </c>
      <c r="D51" s="57" t="s">
        <v>502</v>
      </c>
    </row>
    <row r="52" spans="1:4" ht="21" customHeight="1" x14ac:dyDescent="0.3">
      <c r="A52" s="55" t="s">
        <v>57</v>
      </c>
      <c r="B52" s="56" t="s">
        <v>57</v>
      </c>
      <c r="C52" s="56" t="s">
        <v>503</v>
      </c>
      <c r="D52" s="57" t="s">
        <v>504</v>
      </c>
    </row>
    <row r="53" spans="1:4" ht="21" customHeight="1" x14ac:dyDescent="0.3">
      <c r="A53" s="55" t="s">
        <v>57</v>
      </c>
      <c r="B53" s="56" t="s">
        <v>57</v>
      </c>
      <c r="C53" s="56" t="s">
        <v>505</v>
      </c>
      <c r="D53" s="57" t="s">
        <v>506</v>
      </c>
    </row>
    <row r="54" spans="1:4" ht="21" customHeight="1" x14ac:dyDescent="0.3">
      <c r="A54" s="58" t="s">
        <v>57</v>
      </c>
      <c r="B54" s="59" t="s">
        <v>57</v>
      </c>
      <c r="C54" s="59" t="s">
        <v>507</v>
      </c>
      <c r="D54" s="60" t="s">
        <v>508</v>
      </c>
    </row>
  </sheetData>
  <mergeCells count="1">
    <mergeCell ref="A1:D1"/>
  </mergeCells>
  <pageMargins left="0.75" right="0.75" top="1" bottom="1" header="0.511811023622047" footer="0.511811023622047"/>
  <pageSetup paperSize="9" orientation="portrait" horizontalDpi="300" verticalDpi="30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8"/>
  <sheetViews>
    <sheetView showGridLines="0" zoomScale="90" zoomScaleNormal="90" workbookViewId="0">
      <pane ySplit="2" topLeftCell="A3" activePane="bottomLeft" state="frozen"/>
      <selection pane="bottomLeft" activeCell="A3" sqref="A3:A10"/>
    </sheetView>
  </sheetViews>
  <sheetFormatPr defaultColWidth="8.6640625" defaultRowHeight="14.4" x14ac:dyDescent="0.3"/>
  <cols>
    <col min="1" max="1" width="222.88671875" style="30" customWidth="1"/>
    <col min="2" max="16384" width="8.6640625" style="2"/>
  </cols>
  <sheetData>
    <row r="1" spans="1:1" ht="27" customHeight="1" x14ac:dyDescent="0.3">
      <c r="A1" s="27" t="s">
        <v>78</v>
      </c>
    </row>
    <row r="2" spans="1:1" s="73" customFormat="1" ht="20.399999999999999" customHeight="1" x14ac:dyDescent="0.35">
      <c r="A2" s="72" t="s">
        <v>69</v>
      </c>
    </row>
    <row r="3" spans="1:1" ht="20.399999999999999" customHeight="1" x14ac:dyDescent="0.3">
      <c r="A3" s="70" t="s">
        <v>509</v>
      </c>
    </row>
    <row r="4" spans="1:1" ht="20.399999999999999" customHeight="1" x14ac:dyDescent="0.3">
      <c r="A4" s="70" t="s">
        <v>510</v>
      </c>
    </row>
    <row r="5" spans="1:1" ht="20.399999999999999" customHeight="1" x14ac:dyDescent="0.3">
      <c r="A5" s="70" t="s">
        <v>511</v>
      </c>
    </row>
    <row r="6" spans="1:1" ht="20.399999999999999" customHeight="1" x14ac:dyDescent="0.3">
      <c r="A6" s="70" t="s">
        <v>512</v>
      </c>
    </row>
    <row r="7" spans="1:1" ht="20.399999999999999" customHeight="1" x14ac:dyDescent="0.3">
      <c r="A7" s="70" t="s">
        <v>513</v>
      </c>
    </row>
    <row r="8" spans="1:1" ht="20.399999999999999" customHeight="1" x14ac:dyDescent="0.3">
      <c r="A8" s="70" t="s">
        <v>514</v>
      </c>
    </row>
    <row r="9" spans="1:1" ht="20.399999999999999" customHeight="1" x14ac:dyDescent="0.3">
      <c r="A9" s="70" t="s">
        <v>515</v>
      </c>
    </row>
    <row r="10" spans="1:1" ht="20.399999999999999" customHeight="1" x14ac:dyDescent="0.3">
      <c r="A10" s="70" t="s">
        <v>516</v>
      </c>
    </row>
    <row r="11" spans="1:1" ht="20.399999999999999" customHeight="1" x14ac:dyDescent="0.3">
      <c r="A11" s="70" t="s">
        <v>517</v>
      </c>
    </row>
    <row r="12" spans="1:1" ht="20.399999999999999" customHeight="1" x14ac:dyDescent="0.3">
      <c r="A12" s="70" t="s">
        <v>518</v>
      </c>
    </row>
    <row r="13" spans="1:1" ht="20.399999999999999" customHeight="1" x14ac:dyDescent="0.3">
      <c r="A13" s="70" t="s">
        <v>519</v>
      </c>
    </row>
    <row r="14" spans="1:1" ht="20.399999999999999" customHeight="1" x14ac:dyDescent="0.3">
      <c r="A14" s="70" t="s">
        <v>520</v>
      </c>
    </row>
    <row r="15" spans="1:1" ht="20.399999999999999" customHeight="1" x14ac:dyDescent="0.3">
      <c r="A15" s="70" t="s">
        <v>521</v>
      </c>
    </row>
    <row r="16" spans="1:1" ht="20.399999999999999" customHeight="1" x14ac:dyDescent="0.3">
      <c r="A16" s="70" t="s">
        <v>522</v>
      </c>
    </row>
    <row r="17" spans="1:1" ht="20.399999999999999" customHeight="1" x14ac:dyDescent="0.3">
      <c r="A17" s="70" t="s">
        <v>523</v>
      </c>
    </row>
    <row r="18" spans="1:1" ht="20.399999999999999" customHeight="1" x14ac:dyDescent="0.3">
      <c r="A18" s="71" t="s">
        <v>524</v>
      </c>
    </row>
  </sheetData>
  <pageMargins left="0.75" right="0.75" top="1" bottom="1" header="0.511811023622047" footer="0.511811023622047"/>
  <pageSetup paperSize="9" orientation="portrait" horizontalDpi="300" verticalDpi="300"/>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3"/>
  <sheetViews>
    <sheetView showGridLines="0" zoomScaleNormal="100" workbookViewId="0">
      <pane ySplit="2" topLeftCell="A3" activePane="bottomLeft" state="frozen"/>
      <selection pane="bottomLeft" activeCell="B7" sqref="B7"/>
    </sheetView>
  </sheetViews>
  <sheetFormatPr defaultColWidth="8.6640625" defaultRowHeight="14.4" x14ac:dyDescent="0.3"/>
  <cols>
    <col min="1" max="1" width="46.33203125" bestFit="1" customWidth="1"/>
    <col min="2" max="2" width="104" style="28" customWidth="1"/>
  </cols>
  <sheetData>
    <row r="1" spans="1:2" ht="21" x14ac:dyDescent="0.3">
      <c r="A1" s="94" t="s">
        <v>76</v>
      </c>
      <c r="B1" s="95"/>
    </row>
    <row r="2" spans="1:2" ht="18" x14ac:dyDescent="0.35">
      <c r="A2" s="45" t="s">
        <v>76</v>
      </c>
      <c r="B2" s="54" t="s">
        <v>48</v>
      </c>
    </row>
    <row r="3" spans="1:2" ht="31.2" x14ac:dyDescent="0.3">
      <c r="A3" s="55" t="s">
        <v>49</v>
      </c>
      <c r="B3" s="57" t="s">
        <v>525</v>
      </c>
    </row>
    <row r="4" spans="1:2" ht="31.2" x14ac:dyDescent="0.3">
      <c r="A4" s="55" t="s">
        <v>526</v>
      </c>
      <c r="B4" s="57" t="s">
        <v>527</v>
      </c>
    </row>
    <row r="5" spans="1:2" ht="31.2" x14ac:dyDescent="0.3">
      <c r="A5" s="55" t="s">
        <v>528</v>
      </c>
      <c r="B5" s="57" t="s">
        <v>529</v>
      </c>
    </row>
    <row r="6" spans="1:2" ht="15.6" x14ac:dyDescent="0.3">
      <c r="A6" s="55" t="s">
        <v>149</v>
      </c>
      <c r="B6" s="57" t="s">
        <v>530</v>
      </c>
    </row>
    <row r="7" spans="1:2" ht="31.2" x14ac:dyDescent="0.3">
      <c r="A7" s="55" t="s">
        <v>531</v>
      </c>
      <c r="B7" s="57" t="s">
        <v>532</v>
      </c>
    </row>
    <row r="8" spans="1:2" ht="31.2" x14ac:dyDescent="0.3">
      <c r="A8" s="55" t="s">
        <v>533</v>
      </c>
      <c r="B8" s="57" t="s">
        <v>534</v>
      </c>
    </row>
    <row r="9" spans="1:2" ht="15.6" x14ac:dyDescent="0.3">
      <c r="A9" s="55" t="s">
        <v>535</v>
      </c>
      <c r="B9" s="57" t="s">
        <v>536</v>
      </c>
    </row>
    <row r="10" spans="1:2" ht="15.6" x14ac:dyDescent="0.3">
      <c r="A10" s="55" t="s">
        <v>537</v>
      </c>
      <c r="B10" s="57" t="s">
        <v>538</v>
      </c>
    </row>
    <row r="11" spans="1:2" ht="15.6" x14ac:dyDescent="0.3">
      <c r="A11" s="55" t="s">
        <v>539</v>
      </c>
      <c r="B11" s="57" t="s">
        <v>540</v>
      </c>
    </row>
    <row r="12" spans="1:2" ht="15.6" x14ac:dyDescent="0.3">
      <c r="A12" s="55" t="s">
        <v>541</v>
      </c>
      <c r="B12" s="57" t="s">
        <v>542</v>
      </c>
    </row>
    <row r="13" spans="1:2" ht="15.6" x14ac:dyDescent="0.3">
      <c r="A13" s="55" t="s">
        <v>543</v>
      </c>
      <c r="B13" s="57" t="s">
        <v>544</v>
      </c>
    </row>
    <row r="14" spans="1:2" ht="31.2" x14ac:dyDescent="0.3">
      <c r="A14" s="55" t="s">
        <v>545</v>
      </c>
      <c r="B14" s="57" t="s">
        <v>546</v>
      </c>
    </row>
    <row r="15" spans="1:2" ht="31.2" x14ac:dyDescent="0.3">
      <c r="A15" s="55" t="s">
        <v>547</v>
      </c>
      <c r="B15" s="57" t="s">
        <v>548</v>
      </c>
    </row>
    <row r="16" spans="1:2" ht="15.6" x14ac:dyDescent="0.3">
      <c r="A16" s="55" t="s">
        <v>549</v>
      </c>
      <c r="B16" s="57" t="s">
        <v>550</v>
      </c>
    </row>
    <row r="17" spans="1:2" ht="15.6" x14ac:dyDescent="0.3">
      <c r="A17" s="55" t="s">
        <v>551</v>
      </c>
      <c r="B17" s="57" t="s">
        <v>552</v>
      </c>
    </row>
    <row r="18" spans="1:2" ht="31.2" x14ac:dyDescent="0.3">
      <c r="A18" s="55" t="s">
        <v>553</v>
      </c>
      <c r="B18" s="57" t="s">
        <v>554</v>
      </c>
    </row>
    <row r="19" spans="1:2" ht="31.2" x14ac:dyDescent="0.3">
      <c r="A19" s="55" t="s">
        <v>555</v>
      </c>
      <c r="B19" s="57" t="s">
        <v>556</v>
      </c>
    </row>
    <row r="20" spans="1:2" ht="31.2" x14ac:dyDescent="0.3">
      <c r="A20" s="55" t="s">
        <v>557</v>
      </c>
      <c r="B20" s="57" t="s">
        <v>558</v>
      </c>
    </row>
    <row r="21" spans="1:2" ht="15.6" x14ac:dyDescent="0.3">
      <c r="A21" s="55" t="s">
        <v>559</v>
      </c>
      <c r="B21" s="57" t="s">
        <v>560</v>
      </c>
    </row>
    <row r="22" spans="1:2" ht="15.6" x14ac:dyDescent="0.3">
      <c r="A22" s="55" t="s">
        <v>561</v>
      </c>
      <c r="B22" s="57" t="s">
        <v>562</v>
      </c>
    </row>
    <row r="23" spans="1:2" ht="15.6" x14ac:dyDescent="0.3">
      <c r="A23" s="55" t="s">
        <v>563</v>
      </c>
      <c r="B23" s="57" t="s">
        <v>564</v>
      </c>
    </row>
    <row r="24" spans="1:2" ht="31.2" x14ac:dyDescent="0.3">
      <c r="A24" s="55" t="s">
        <v>565</v>
      </c>
      <c r="B24" s="57" t="s">
        <v>566</v>
      </c>
    </row>
    <row r="25" spans="1:2" ht="31.2" x14ac:dyDescent="0.3">
      <c r="A25" s="55" t="s">
        <v>567</v>
      </c>
      <c r="B25" s="57" t="s">
        <v>568</v>
      </c>
    </row>
    <row r="26" spans="1:2" ht="31.2" x14ac:dyDescent="0.3">
      <c r="A26" s="55" t="s">
        <v>569</v>
      </c>
      <c r="B26" s="57" t="s">
        <v>570</v>
      </c>
    </row>
    <row r="27" spans="1:2" ht="31.2" x14ac:dyDescent="0.3">
      <c r="A27" s="55" t="s">
        <v>571</v>
      </c>
      <c r="B27" s="57" t="s">
        <v>572</v>
      </c>
    </row>
    <row r="28" spans="1:2" ht="31.2" x14ac:dyDescent="0.3">
      <c r="A28" s="55" t="s">
        <v>573</v>
      </c>
      <c r="B28" s="57" t="s">
        <v>574</v>
      </c>
    </row>
    <row r="29" spans="1:2" ht="31.2" x14ac:dyDescent="0.3">
      <c r="A29" s="55" t="s">
        <v>575</v>
      </c>
      <c r="B29" s="57" t="s">
        <v>576</v>
      </c>
    </row>
    <row r="30" spans="1:2" ht="31.2" x14ac:dyDescent="0.3">
      <c r="A30" s="55" t="s">
        <v>317</v>
      </c>
      <c r="B30" s="57" t="s">
        <v>577</v>
      </c>
    </row>
    <row r="31" spans="1:2" ht="31.2" x14ac:dyDescent="0.3">
      <c r="A31" s="55" t="s">
        <v>578</v>
      </c>
      <c r="B31" s="57" t="s">
        <v>579</v>
      </c>
    </row>
    <row r="32" spans="1:2" ht="31.2" x14ac:dyDescent="0.3">
      <c r="A32" s="55" t="s">
        <v>580</v>
      </c>
      <c r="B32" s="57" t="s">
        <v>581</v>
      </c>
    </row>
    <row r="33" spans="1:2" ht="31.2" x14ac:dyDescent="0.3">
      <c r="A33" s="55" t="s">
        <v>582</v>
      </c>
      <c r="B33" s="57" t="s">
        <v>583</v>
      </c>
    </row>
    <row r="34" spans="1:2" ht="31.2" x14ac:dyDescent="0.3">
      <c r="A34" s="55" t="s">
        <v>584</v>
      </c>
      <c r="B34" s="57" t="s">
        <v>585</v>
      </c>
    </row>
    <row r="35" spans="1:2" ht="31.2" x14ac:dyDescent="0.3">
      <c r="A35" s="55" t="s">
        <v>586</v>
      </c>
      <c r="B35" s="57" t="s">
        <v>587</v>
      </c>
    </row>
    <row r="36" spans="1:2" ht="31.2" x14ac:dyDescent="0.3">
      <c r="A36" s="55" t="s">
        <v>588</v>
      </c>
      <c r="B36" s="57" t="s">
        <v>589</v>
      </c>
    </row>
    <row r="37" spans="1:2" ht="31.2" x14ac:dyDescent="0.3">
      <c r="A37" s="55" t="s">
        <v>590</v>
      </c>
      <c r="B37" s="57" t="s">
        <v>591</v>
      </c>
    </row>
    <row r="38" spans="1:2" ht="31.2" x14ac:dyDescent="0.3">
      <c r="A38" s="55" t="s">
        <v>592</v>
      </c>
      <c r="B38" s="57" t="s">
        <v>593</v>
      </c>
    </row>
    <row r="39" spans="1:2" ht="15.6" x14ac:dyDescent="0.3">
      <c r="A39" s="55" t="s">
        <v>594</v>
      </c>
      <c r="B39" s="57" t="s">
        <v>595</v>
      </c>
    </row>
    <row r="40" spans="1:2" ht="31.2" x14ac:dyDescent="0.3">
      <c r="A40" s="55" t="s">
        <v>596</v>
      </c>
      <c r="B40" s="57" t="s">
        <v>597</v>
      </c>
    </row>
    <row r="41" spans="1:2" ht="15.6" x14ac:dyDescent="0.3">
      <c r="A41" s="55" t="s">
        <v>598</v>
      </c>
      <c r="B41" s="57" t="s">
        <v>599</v>
      </c>
    </row>
    <row r="42" spans="1:2" ht="15.6" x14ac:dyDescent="0.3">
      <c r="A42" s="55" t="s">
        <v>600</v>
      </c>
      <c r="B42" s="57" t="s">
        <v>601</v>
      </c>
    </row>
    <row r="43" spans="1:2" ht="31.2" x14ac:dyDescent="0.3">
      <c r="A43" s="58" t="s">
        <v>602</v>
      </c>
      <c r="B43" s="60" t="s">
        <v>603</v>
      </c>
    </row>
  </sheetData>
  <mergeCells count="1">
    <mergeCell ref="A1:B1"/>
  </mergeCells>
  <pageMargins left="0.75" right="0.75" top="1" bottom="1" header="0.511811023622047" footer="0.511811023622047"/>
  <pageSetup paperSize="9" orientation="portrait" horizontalDpi="300" verticalDpi="30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showGridLines="0" zoomScaleNormal="100" workbookViewId="0">
      <pane ySplit="2" topLeftCell="A3" activePane="bottomLeft" state="frozen"/>
      <selection pane="bottomLeft" activeCell="A3" sqref="A3"/>
    </sheetView>
  </sheetViews>
  <sheetFormatPr defaultColWidth="8.6640625" defaultRowHeight="14.4" x14ac:dyDescent="0.3"/>
  <cols>
    <col min="1" max="1" width="22" customWidth="1"/>
    <col min="2" max="3" width="35" customWidth="1"/>
    <col min="4" max="4" width="18" customWidth="1"/>
  </cols>
  <sheetData>
    <row r="1" spans="1:4" ht="57" customHeight="1" x14ac:dyDescent="0.3">
      <c r="A1" s="89" t="s">
        <v>604</v>
      </c>
      <c r="B1" s="90"/>
      <c r="C1" s="90"/>
      <c r="D1" s="91"/>
    </row>
    <row r="2" spans="1:4" s="47" customFormat="1" ht="18" customHeight="1" x14ac:dyDescent="0.35">
      <c r="A2" s="74" t="s">
        <v>605</v>
      </c>
      <c r="B2" s="75" t="s">
        <v>606</v>
      </c>
      <c r="C2" s="75" t="s">
        <v>607</v>
      </c>
      <c r="D2" s="76" t="s">
        <v>89</v>
      </c>
    </row>
    <row r="3" spans="1:4" ht="24.75" customHeight="1" x14ac:dyDescent="0.3">
      <c r="A3" s="55" t="s">
        <v>608</v>
      </c>
      <c r="B3" s="56" t="s">
        <v>609</v>
      </c>
      <c r="C3" s="56"/>
      <c r="D3" s="77"/>
    </row>
    <row r="4" spans="1:4" ht="24.75" customHeight="1" x14ac:dyDescent="0.3">
      <c r="A4" s="55" t="s">
        <v>610</v>
      </c>
      <c r="B4" s="56" t="s">
        <v>611</v>
      </c>
      <c r="C4" s="56"/>
      <c r="D4" s="77"/>
    </row>
    <row r="5" spans="1:4" ht="24.75" customHeight="1" x14ac:dyDescent="0.3">
      <c r="A5" s="55" t="s">
        <v>612</v>
      </c>
      <c r="B5" s="56" t="s">
        <v>613</v>
      </c>
      <c r="C5" s="56"/>
      <c r="D5" s="77"/>
    </row>
    <row r="6" spans="1:4" ht="24.75" customHeight="1" x14ac:dyDescent="0.3">
      <c r="A6" s="58"/>
      <c r="B6" s="59"/>
      <c r="C6" s="59"/>
      <c r="D6" s="78"/>
    </row>
  </sheetData>
  <mergeCells count="1">
    <mergeCell ref="A1:D1"/>
  </mergeCells>
  <pageMargins left="0.75" right="0.75" top="1" bottom="1" header="0.511811023622047" footer="0.511811023622047"/>
  <pageSetup paperSize="9" orientation="portrait" horizontalDpi="300" verticalDpi="30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showGridLines="0" zoomScaleNormal="100" workbookViewId="0">
      <pane ySplit="2" topLeftCell="A3" activePane="bottomLeft" state="frozen"/>
      <selection pane="bottomLeft" activeCell="A3" sqref="A3"/>
    </sheetView>
  </sheetViews>
  <sheetFormatPr defaultColWidth="8.6640625" defaultRowHeight="20.399999999999999" customHeight="1" x14ac:dyDescent="0.3"/>
  <cols>
    <col min="1" max="1" width="25" customWidth="1"/>
    <col min="2" max="2" width="30" customWidth="1"/>
    <col min="3" max="3" width="49.5546875" bestFit="1" customWidth="1"/>
    <col min="4" max="4" width="10.88671875" customWidth="1"/>
  </cols>
  <sheetData>
    <row r="1" spans="1:4" ht="20.399999999999999" customHeight="1" x14ac:dyDescent="0.3">
      <c r="A1" s="94" t="s">
        <v>614</v>
      </c>
      <c r="B1" s="96"/>
      <c r="C1" s="96"/>
      <c r="D1" s="95"/>
    </row>
    <row r="2" spans="1:4" s="64" customFormat="1" ht="20.399999999999999" customHeight="1" x14ac:dyDescent="0.35">
      <c r="A2" s="61" t="s">
        <v>615</v>
      </c>
      <c r="B2" s="62" t="s">
        <v>616</v>
      </c>
      <c r="C2" s="62" t="s">
        <v>617</v>
      </c>
      <c r="D2" s="63" t="s">
        <v>618</v>
      </c>
    </row>
    <row r="3" spans="1:4" ht="20.399999999999999" customHeight="1" x14ac:dyDescent="0.3">
      <c r="A3" s="48" t="s">
        <v>449</v>
      </c>
      <c r="B3" s="49" t="s">
        <v>450</v>
      </c>
      <c r="C3" s="49" t="s">
        <v>619</v>
      </c>
      <c r="D3" s="50" t="s">
        <v>620</v>
      </c>
    </row>
    <row r="4" spans="1:4" ht="20.399999999999999" customHeight="1" x14ac:dyDescent="0.3">
      <c r="A4" s="48" t="s">
        <v>449</v>
      </c>
      <c r="B4" s="49" t="s">
        <v>231</v>
      </c>
      <c r="C4" s="49" t="s">
        <v>621</v>
      </c>
      <c r="D4" s="50" t="s">
        <v>620</v>
      </c>
    </row>
    <row r="5" spans="1:4" ht="20.399999999999999" customHeight="1" x14ac:dyDescent="0.3">
      <c r="A5" s="48" t="s">
        <v>449</v>
      </c>
      <c r="B5" s="49" t="s">
        <v>622</v>
      </c>
      <c r="C5" s="49" t="s">
        <v>623</v>
      </c>
      <c r="D5" s="50" t="s">
        <v>620</v>
      </c>
    </row>
    <row r="6" spans="1:4" ht="20.399999999999999" customHeight="1" x14ac:dyDescent="0.3">
      <c r="A6" s="48" t="s">
        <v>449</v>
      </c>
      <c r="B6" s="49" t="s">
        <v>214</v>
      </c>
      <c r="C6" s="49" t="s">
        <v>624</v>
      </c>
      <c r="D6" s="50" t="s">
        <v>620</v>
      </c>
    </row>
    <row r="7" spans="1:4" ht="20.399999999999999" customHeight="1" x14ac:dyDescent="0.3">
      <c r="A7" s="48" t="s">
        <v>449</v>
      </c>
      <c r="B7" s="49" t="s">
        <v>625</v>
      </c>
      <c r="C7" s="49" t="s">
        <v>626</v>
      </c>
      <c r="D7" s="50"/>
    </row>
    <row r="8" spans="1:4" ht="20.399999999999999" customHeight="1" x14ac:dyDescent="0.3">
      <c r="A8" s="48" t="s">
        <v>437</v>
      </c>
      <c r="B8" s="49" t="s">
        <v>627</v>
      </c>
      <c r="C8" s="49" t="s">
        <v>628</v>
      </c>
      <c r="D8" s="50" t="s">
        <v>620</v>
      </c>
    </row>
    <row r="9" spans="1:4" ht="20.399999999999999" customHeight="1" x14ac:dyDescent="0.3">
      <c r="A9" s="48" t="s">
        <v>437</v>
      </c>
      <c r="B9" s="49" t="s">
        <v>629</v>
      </c>
      <c r="C9" s="49" t="s">
        <v>630</v>
      </c>
      <c r="D9" s="50" t="s">
        <v>620</v>
      </c>
    </row>
    <row r="10" spans="1:4" ht="20.399999999999999" customHeight="1" x14ac:dyDescent="0.3">
      <c r="A10" s="48" t="s">
        <v>437</v>
      </c>
      <c r="B10" s="49" t="s">
        <v>214</v>
      </c>
      <c r="C10" s="49" t="s">
        <v>631</v>
      </c>
      <c r="D10" s="50" t="s">
        <v>620</v>
      </c>
    </row>
    <row r="11" spans="1:4" ht="20.399999999999999" customHeight="1" x14ac:dyDescent="0.3">
      <c r="A11" s="48" t="s">
        <v>437</v>
      </c>
      <c r="B11" s="49" t="s">
        <v>438</v>
      </c>
      <c r="C11" s="49" t="s">
        <v>632</v>
      </c>
      <c r="D11" s="50" t="s">
        <v>620</v>
      </c>
    </row>
    <row r="12" spans="1:4" ht="20.399999999999999" customHeight="1" x14ac:dyDescent="0.3">
      <c r="A12" s="48" t="s">
        <v>455</v>
      </c>
      <c r="B12" s="49" t="s">
        <v>633</v>
      </c>
      <c r="C12" s="49" t="s">
        <v>634</v>
      </c>
      <c r="D12" s="50" t="s">
        <v>620</v>
      </c>
    </row>
    <row r="13" spans="1:4" ht="20.399999999999999" customHeight="1" x14ac:dyDescent="0.3">
      <c r="A13" s="48" t="s">
        <v>455</v>
      </c>
      <c r="B13" s="49" t="s">
        <v>199</v>
      </c>
      <c r="C13" s="49" t="s">
        <v>635</v>
      </c>
      <c r="D13" s="50" t="s">
        <v>620</v>
      </c>
    </row>
    <row r="14" spans="1:4" ht="20.399999999999999" customHeight="1" x14ac:dyDescent="0.3">
      <c r="A14" s="48" t="s">
        <v>455</v>
      </c>
      <c r="B14" s="49" t="s">
        <v>358</v>
      </c>
      <c r="C14" s="49" t="s">
        <v>636</v>
      </c>
      <c r="D14" s="50" t="s">
        <v>620</v>
      </c>
    </row>
    <row r="15" spans="1:4" ht="20.399999999999999" customHeight="1" x14ac:dyDescent="0.3">
      <c r="A15" s="48" t="s">
        <v>455</v>
      </c>
      <c r="B15" s="49" t="s">
        <v>187</v>
      </c>
      <c r="C15" s="49" t="s">
        <v>637</v>
      </c>
      <c r="D15" s="50" t="s">
        <v>620</v>
      </c>
    </row>
    <row r="16" spans="1:4" ht="20.399999999999999" customHeight="1" x14ac:dyDescent="0.3">
      <c r="A16" s="48" t="s">
        <v>370</v>
      </c>
      <c r="B16" s="49" t="s">
        <v>371</v>
      </c>
      <c r="C16" s="49" t="s">
        <v>638</v>
      </c>
      <c r="D16" s="50" t="s">
        <v>620</v>
      </c>
    </row>
    <row r="17" spans="1:4" ht="20.399999999999999" customHeight="1" x14ac:dyDescent="0.3">
      <c r="A17" s="48" t="s">
        <v>370</v>
      </c>
      <c r="B17" s="49" t="s">
        <v>378</v>
      </c>
      <c r="C17" s="49" t="s">
        <v>639</v>
      </c>
      <c r="D17" s="50"/>
    </row>
    <row r="18" spans="1:4" ht="20.399999999999999" customHeight="1" x14ac:dyDescent="0.3">
      <c r="A18" s="48" t="s">
        <v>351</v>
      </c>
      <c r="B18" s="49" t="s">
        <v>383</v>
      </c>
      <c r="C18" s="49" t="s">
        <v>640</v>
      </c>
      <c r="D18" s="50" t="s">
        <v>620</v>
      </c>
    </row>
    <row r="19" spans="1:4" ht="20.399999999999999" customHeight="1" x14ac:dyDescent="0.3">
      <c r="A19" s="48" t="s">
        <v>351</v>
      </c>
      <c r="B19" s="49" t="s">
        <v>409</v>
      </c>
      <c r="C19" s="49" t="s">
        <v>641</v>
      </c>
      <c r="D19" s="50" t="s">
        <v>620</v>
      </c>
    </row>
    <row r="20" spans="1:4" ht="20.399999999999999" customHeight="1" x14ac:dyDescent="0.3">
      <c r="A20" s="48" t="s">
        <v>351</v>
      </c>
      <c r="B20" s="49" t="s">
        <v>642</v>
      </c>
      <c r="C20" s="49" t="s">
        <v>643</v>
      </c>
      <c r="D20" s="50"/>
    </row>
    <row r="21" spans="1:4" ht="20.399999999999999" customHeight="1" x14ac:dyDescent="0.3">
      <c r="A21" s="48" t="s">
        <v>57</v>
      </c>
      <c r="B21" s="49" t="s">
        <v>351</v>
      </c>
      <c r="C21" s="49" t="s">
        <v>644</v>
      </c>
      <c r="D21" s="50"/>
    </row>
    <row r="22" spans="1:4" ht="20.399999999999999" customHeight="1" x14ac:dyDescent="0.3">
      <c r="A22" s="48" t="s">
        <v>106</v>
      </c>
      <c r="B22" s="49" t="s">
        <v>116</v>
      </c>
      <c r="C22" s="49" t="s">
        <v>645</v>
      </c>
      <c r="D22" s="50" t="s">
        <v>620</v>
      </c>
    </row>
    <row r="23" spans="1:4" ht="20.399999999999999" customHeight="1" x14ac:dyDescent="0.3">
      <c r="A23" s="48" t="s">
        <v>106</v>
      </c>
      <c r="B23" s="49" t="s">
        <v>129</v>
      </c>
      <c r="C23" s="49" t="s">
        <v>646</v>
      </c>
      <c r="D23" s="50" t="s">
        <v>620</v>
      </c>
    </row>
    <row r="24" spans="1:4" ht="20.399999999999999" customHeight="1" x14ac:dyDescent="0.3">
      <c r="A24" s="48" t="s">
        <v>106</v>
      </c>
      <c r="B24" s="49" t="s">
        <v>122</v>
      </c>
      <c r="C24" s="49" t="s">
        <v>647</v>
      </c>
      <c r="D24" s="50" t="s">
        <v>620</v>
      </c>
    </row>
    <row r="25" spans="1:4" ht="20.399999999999999" customHeight="1" x14ac:dyDescent="0.3">
      <c r="A25" s="48" t="s">
        <v>106</v>
      </c>
      <c r="B25" s="49" t="s">
        <v>421</v>
      </c>
      <c r="C25" s="49" t="s">
        <v>648</v>
      </c>
      <c r="D25" s="50" t="s">
        <v>620</v>
      </c>
    </row>
    <row r="26" spans="1:4" ht="20.399999999999999" customHeight="1" x14ac:dyDescent="0.3">
      <c r="A26" s="48" t="s">
        <v>106</v>
      </c>
      <c r="B26" s="49" t="s">
        <v>137</v>
      </c>
      <c r="C26" s="49" t="s">
        <v>649</v>
      </c>
      <c r="D26" s="50" t="s">
        <v>620</v>
      </c>
    </row>
    <row r="27" spans="1:4" ht="20.399999999999999" customHeight="1" x14ac:dyDescent="0.3">
      <c r="A27" s="48" t="s">
        <v>180</v>
      </c>
      <c r="B27" s="49" t="s">
        <v>181</v>
      </c>
      <c r="C27" s="49" t="s">
        <v>650</v>
      </c>
      <c r="D27" s="50" t="s">
        <v>620</v>
      </c>
    </row>
    <row r="28" spans="1:4" ht="20.399999999999999" customHeight="1" x14ac:dyDescent="0.3">
      <c r="A28" s="48" t="s">
        <v>180</v>
      </c>
      <c r="B28" s="49" t="s">
        <v>226</v>
      </c>
      <c r="C28" s="49" t="s">
        <v>651</v>
      </c>
      <c r="D28" s="50"/>
    </row>
    <row r="29" spans="1:4" ht="20.399999999999999" customHeight="1" x14ac:dyDescent="0.3">
      <c r="A29" s="48" t="s">
        <v>443</v>
      </c>
      <c r="B29" s="49" t="s">
        <v>444</v>
      </c>
      <c r="C29" s="49" t="s">
        <v>652</v>
      </c>
      <c r="D29" s="50" t="s">
        <v>620</v>
      </c>
    </row>
    <row r="30" spans="1:4" ht="20.399999999999999" customHeight="1" x14ac:dyDescent="0.3">
      <c r="A30" s="48" t="s">
        <v>443</v>
      </c>
      <c r="B30" s="49" t="s">
        <v>446</v>
      </c>
      <c r="C30" s="49" t="s">
        <v>653</v>
      </c>
      <c r="D30" s="50" t="s">
        <v>620</v>
      </c>
    </row>
    <row r="31" spans="1:4" ht="20.399999999999999" customHeight="1" x14ac:dyDescent="0.3">
      <c r="A31" s="48" t="s">
        <v>155</v>
      </c>
      <c r="B31" s="49" t="s">
        <v>654</v>
      </c>
      <c r="C31" s="49" t="s">
        <v>655</v>
      </c>
      <c r="D31" s="50" t="s">
        <v>620</v>
      </c>
    </row>
    <row r="32" spans="1:4" ht="20.399999999999999" customHeight="1" x14ac:dyDescent="0.3">
      <c r="A32" s="48" t="s">
        <v>155</v>
      </c>
      <c r="B32" s="49" t="s">
        <v>51</v>
      </c>
      <c r="C32" s="49" t="s">
        <v>656</v>
      </c>
      <c r="D32" s="50"/>
    </row>
    <row r="33" spans="1:4" ht="20.399999999999999" customHeight="1" x14ac:dyDescent="0.3">
      <c r="A33" s="48" t="s">
        <v>214</v>
      </c>
      <c r="B33" s="49" t="s">
        <v>441</v>
      </c>
      <c r="C33" s="49" t="s">
        <v>657</v>
      </c>
      <c r="D33" s="50"/>
    </row>
    <row r="34" spans="1:4" ht="20.399999999999999" customHeight="1" x14ac:dyDescent="0.3">
      <c r="A34" s="48" t="s">
        <v>390</v>
      </c>
      <c r="B34" s="49" t="s">
        <v>411</v>
      </c>
      <c r="C34" s="49" t="s">
        <v>658</v>
      </c>
      <c r="D34" s="50" t="s">
        <v>620</v>
      </c>
    </row>
    <row r="35" spans="1:4" ht="20.399999999999999" customHeight="1" x14ac:dyDescent="0.3">
      <c r="A35" s="48" t="s">
        <v>390</v>
      </c>
      <c r="B35" s="49" t="s">
        <v>413</v>
      </c>
      <c r="C35" s="49" t="s">
        <v>659</v>
      </c>
      <c r="D35" s="50" t="s">
        <v>620</v>
      </c>
    </row>
    <row r="36" spans="1:4" ht="20.399999999999999" customHeight="1" x14ac:dyDescent="0.3">
      <c r="A36" s="48" t="s">
        <v>390</v>
      </c>
      <c r="B36" s="49" t="s">
        <v>415</v>
      </c>
      <c r="C36" s="49" t="s">
        <v>660</v>
      </c>
      <c r="D36" s="50" t="s">
        <v>620</v>
      </c>
    </row>
    <row r="37" spans="1:4" ht="20.399999999999999" customHeight="1" x14ac:dyDescent="0.3">
      <c r="A37" s="51" t="s">
        <v>390</v>
      </c>
      <c r="B37" s="52" t="s">
        <v>352</v>
      </c>
      <c r="C37" s="52" t="s">
        <v>661</v>
      </c>
      <c r="D37" s="53" t="s">
        <v>620</v>
      </c>
    </row>
  </sheetData>
  <mergeCells count="1">
    <mergeCell ref="A1:D1"/>
  </mergeCells>
  <pageMargins left="0.75" right="0.75" top="1" bottom="1" header="0.511811023622047" footer="0.511811023622047"/>
  <pageSetup paperSize="9" orientation="portrait" horizontalDpi="300" verticalDpi="300"/>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1"/>
  <sheetViews>
    <sheetView showGridLines="0" zoomScaleNormal="100" workbookViewId="0">
      <selection activeCell="A3" sqref="A3"/>
    </sheetView>
  </sheetViews>
  <sheetFormatPr defaultColWidth="8.6640625" defaultRowHeight="14.4" x14ac:dyDescent="0.3"/>
  <cols>
    <col min="1" max="1" width="71.44140625" style="2" customWidth="1"/>
    <col min="2" max="3" width="8.6640625" style="2"/>
    <col min="4" max="4" width="109.33203125" style="2" customWidth="1"/>
    <col min="5" max="16384" width="8.6640625" style="2"/>
  </cols>
  <sheetData>
    <row r="1" spans="1:1" ht="32.4" customHeight="1" x14ac:dyDescent="0.3">
      <c r="A1" s="26" t="s">
        <v>84</v>
      </c>
    </row>
    <row r="2" spans="1:1" ht="18" x14ac:dyDescent="0.35">
      <c r="A2" s="65" t="s">
        <v>662</v>
      </c>
    </row>
    <row r="3" spans="1:1" ht="15.6" x14ac:dyDescent="0.3">
      <c r="A3" s="49" t="s">
        <v>663</v>
      </c>
    </row>
    <row r="4" spans="1:1" ht="15.6" x14ac:dyDescent="0.3">
      <c r="A4" s="49" t="s">
        <v>112</v>
      </c>
    </row>
    <row r="5" spans="1:1" ht="15.6" x14ac:dyDescent="0.3">
      <c r="A5" s="49" t="s">
        <v>233</v>
      </c>
    </row>
    <row r="6" spans="1:1" ht="15.6" x14ac:dyDescent="0.3">
      <c r="A6" s="49" t="s">
        <v>132</v>
      </c>
    </row>
    <row r="7" spans="1:1" ht="15.6" x14ac:dyDescent="0.3">
      <c r="A7" s="49" t="s">
        <v>373</v>
      </c>
    </row>
    <row r="8" spans="1:1" ht="15.6" x14ac:dyDescent="0.3">
      <c r="A8" s="49" t="s">
        <v>202</v>
      </c>
    </row>
    <row r="9" spans="1:1" ht="15.6" x14ac:dyDescent="0.3">
      <c r="A9" s="49" t="s">
        <v>144</v>
      </c>
    </row>
    <row r="10" spans="1:1" ht="15.6" x14ac:dyDescent="0.3">
      <c r="A10" s="49" t="s">
        <v>664</v>
      </c>
    </row>
    <row r="11" spans="1:1" ht="15.6" x14ac:dyDescent="0.3">
      <c r="A11" s="49" t="s">
        <v>665</v>
      </c>
    </row>
    <row r="15" spans="1:1" ht="18" x14ac:dyDescent="0.35">
      <c r="A15" s="66" t="s">
        <v>666</v>
      </c>
    </row>
    <row r="16" spans="1:1" ht="15.6" x14ac:dyDescent="0.3">
      <c r="A16" s="67" t="s">
        <v>667</v>
      </c>
    </row>
    <row r="17" spans="1:1" ht="15.6" x14ac:dyDescent="0.3">
      <c r="A17" s="67" t="s">
        <v>109</v>
      </c>
    </row>
    <row r="18" spans="1:1" ht="15.6" x14ac:dyDescent="0.3">
      <c r="A18" s="67" t="s">
        <v>668</v>
      </c>
    </row>
    <row r="19" spans="1:1" ht="15.6" x14ac:dyDescent="0.3">
      <c r="A19" s="67" t="s">
        <v>131</v>
      </c>
    </row>
    <row r="20" spans="1:1" ht="15.6" x14ac:dyDescent="0.3">
      <c r="A20" s="68" t="s">
        <v>669</v>
      </c>
    </row>
    <row r="21" spans="1:1" ht="15.6" x14ac:dyDescent="0.3">
      <c r="A21" s="69"/>
    </row>
  </sheetData>
  <pageMargins left="0.75" right="0.75" top="1" bottom="1" header="0.511811023622047" footer="0.511811023622047"/>
  <pageSetup paperSize="9" orientation="portrait" horizontalDpi="300" verticalDpi="300"/>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08186607B79547A6D3DEB30136F3E1" ma:contentTypeVersion="8" ma:contentTypeDescription="Create a new document." ma:contentTypeScope="" ma:versionID="cee27091818c57dd3346725512c19251">
  <xsd:schema xmlns:xsd="http://www.w3.org/2001/XMLSchema" xmlns:xs="http://www.w3.org/2001/XMLSchema" xmlns:p="http://schemas.microsoft.com/office/2006/metadata/properties" xmlns:ns2="bf703d11-15ba-4354-9474-25b6026ffb11" targetNamespace="http://schemas.microsoft.com/office/2006/metadata/properties" ma:root="true" ma:fieldsID="de53accb7ffe3a3540f14dd581fcf957" ns2:_="">
    <xsd:import namespace="bf703d11-15ba-4354-9474-25b6026ffb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703d11-15ba-4354-9474-25b6026ff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048401-A710-459A-AB9B-DDFA0EFBED06}">
  <ds:schemaRefs>
    <ds:schemaRef ds:uri="http://purl.org/dc/elements/1.1/"/>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bf703d11-15ba-4354-9474-25b6026ffb11"/>
    <ds:schemaRef ds:uri="http://www.w3.org/XML/1998/namespace"/>
  </ds:schemaRefs>
</ds:datastoreItem>
</file>

<file path=customXml/itemProps2.xml><?xml version="1.0" encoding="utf-8"?>
<ds:datastoreItem xmlns:ds="http://schemas.openxmlformats.org/officeDocument/2006/customXml" ds:itemID="{DE0F0141-7DCA-46A0-8F75-A99F52B5F2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703d11-15ba-4354-9474-25b6026ffb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16B415-DD54-450A-BCB5-5DEB2334FC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Source</vt:lpstr>
      <vt:lpstr>Colour Palette</vt:lpstr>
      <vt:lpstr>Summary</vt:lpstr>
      <vt:lpstr>LES BRD</vt:lpstr>
      <vt:lpstr>Scope Checklist Requirements</vt:lpstr>
      <vt:lpstr>Out of Scope</vt:lpstr>
      <vt:lpstr>Scope</vt:lpstr>
      <vt:lpstr>Sign Off - Acceptance</vt:lpstr>
      <vt:lpstr>LOV's</vt:lpstr>
      <vt:lpstr>Selections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Priya Jadhav</cp:lastModifiedBy>
  <cp:revision>0</cp:revision>
  <dcterms:created xsi:type="dcterms:W3CDTF">2026-03-12T13:04:14Z</dcterms:created>
  <dcterms:modified xsi:type="dcterms:W3CDTF">2026-04-06T11:27:10Z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30e72b-8b4a-40a0-94d3-d0a056eff6fc_Enabled">
    <vt:lpwstr>true</vt:lpwstr>
  </property>
  <property fmtid="{D5CDD505-2E9C-101B-9397-08002B2CF9AE}" pid="3" name="MSIP_Label_e830e72b-8b4a-40a0-94d3-d0a056eff6fc_SetDate">
    <vt:lpwstr>2026-03-12T13:07:33Z</vt:lpwstr>
  </property>
  <property fmtid="{D5CDD505-2E9C-101B-9397-08002B2CF9AE}" pid="4" name="MSIP_Label_e830e72b-8b4a-40a0-94d3-d0a056eff6fc_Method">
    <vt:lpwstr>Standard</vt:lpwstr>
  </property>
  <property fmtid="{D5CDD505-2E9C-101B-9397-08002B2CF9AE}" pid="5" name="MSIP_Label_e830e72b-8b4a-40a0-94d3-d0a056eff6fc_Name">
    <vt:lpwstr>defa4170-0d19-0005-0004-bc88714345d2</vt:lpwstr>
  </property>
  <property fmtid="{D5CDD505-2E9C-101B-9397-08002B2CF9AE}" pid="6" name="MSIP_Label_e830e72b-8b4a-40a0-94d3-d0a056eff6fc_SiteId">
    <vt:lpwstr>150d7f46-ce04-4895-b4bd-7cf3fdf622fa</vt:lpwstr>
  </property>
  <property fmtid="{D5CDD505-2E9C-101B-9397-08002B2CF9AE}" pid="7" name="MSIP_Label_e830e72b-8b4a-40a0-94d3-d0a056eff6fc_ActionId">
    <vt:lpwstr>9790947b-2309-4f2a-8a96-f77fd0a6889f</vt:lpwstr>
  </property>
  <property fmtid="{D5CDD505-2E9C-101B-9397-08002B2CF9AE}" pid="8" name="MSIP_Label_e830e72b-8b4a-40a0-94d3-d0a056eff6fc_ContentBits">
    <vt:lpwstr>0</vt:lpwstr>
  </property>
  <property fmtid="{D5CDD505-2E9C-101B-9397-08002B2CF9AE}" pid="9" name="MSIP_Label_e830e72b-8b4a-40a0-94d3-d0a056eff6fc_Tag">
    <vt:lpwstr>10, 3, 0, 1</vt:lpwstr>
  </property>
  <property fmtid="{D5CDD505-2E9C-101B-9397-08002B2CF9AE}" pid="10" name="ContentTypeId">
    <vt:lpwstr>0x010100FB08186607B79547A6D3DEB30136F3E1</vt:lpwstr>
  </property>
</Properties>
</file>